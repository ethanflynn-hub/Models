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ownloads\"/>
    </mc:Choice>
  </mc:AlternateContent>
  <xr:revisionPtr revIDLastSave="0" documentId="13_ncr:1_{B62FF990-E6AB-4E5F-93E3-F96A3D31262C}" xr6:coauthVersionLast="47" xr6:coauthVersionMax="47" xr10:uidLastSave="{00000000-0000-0000-0000-000000000000}"/>
  <bookViews>
    <workbookView xWindow="-120" yWindow="-120" windowWidth="29040" windowHeight="15840" activeTab="1" xr2:uid="{49C92DE3-B9AC-46E7-A79F-7E86F5B003F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8" i="2" l="1"/>
  <c r="L58" i="2"/>
  <c r="P57" i="2"/>
  <c r="L57" i="2"/>
  <c r="P55" i="2"/>
  <c r="L55" i="2"/>
  <c r="P33" i="2"/>
  <c r="L33" i="2"/>
  <c r="L15" i="2"/>
  <c r="L16" i="2" s="1"/>
  <c r="L21" i="2" s="1"/>
  <c r="P15" i="2"/>
  <c r="P16" i="2" s="1"/>
  <c r="P21" i="2" s="1"/>
  <c r="T30" i="2"/>
  <c r="U30" i="2"/>
  <c r="U58" i="2"/>
  <c r="T58" i="2"/>
  <c r="U55" i="2"/>
  <c r="U57" i="2" s="1"/>
  <c r="T55" i="2"/>
  <c r="T57" i="2" s="1"/>
  <c r="U15" i="2"/>
  <c r="U16" i="2" s="1"/>
  <c r="T15" i="2"/>
  <c r="T16" i="2" s="1"/>
  <c r="S15" i="2"/>
  <c r="S16" i="2" s="1"/>
  <c r="D8" i="1" l="1"/>
  <c r="D5" i="1"/>
</calcChain>
</file>

<file path=xl/sharedStrings.xml><?xml version="1.0" encoding="utf-8"?>
<sst xmlns="http://schemas.openxmlformats.org/spreadsheetml/2006/main" count="98" uniqueCount="92">
  <si>
    <t>Price</t>
  </si>
  <si>
    <t>S/O</t>
  </si>
  <si>
    <t>MC</t>
  </si>
  <si>
    <t>Cash</t>
  </si>
  <si>
    <t>Debt</t>
  </si>
  <si>
    <t>EV</t>
  </si>
  <si>
    <t>Revenue</t>
  </si>
  <si>
    <t>Salaries wages Benefits</t>
  </si>
  <si>
    <t>Purchased Transportation</t>
  </si>
  <si>
    <t>Fuel Operating expenses and supplies</t>
  </si>
  <si>
    <t>Operating taxes and Licenses</t>
  </si>
  <si>
    <t>Insurance and claims</t>
  </si>
  <si>
    <t>Gains on sales of property and equipment</t>
  </si>
  <si>
    <t>D&amp;A</t>
  </si>
  <si>
    <t>Goodwill Impairment</t>
  </si>
  <si>
    <t>Litigation Matter</t>
  </si>
  <si>
    <t>Transaction and integration</t>
  </si>
  <si>
    <t>Restructuring Cost</t>
  </si>
  <si>
    <t>Operating Income</t>
  </si>
  <si>
    <t>Other Income</t>
  </si>
  <si>
    <t>Debt extinguishment Loss</t>
  </si>
  <si>
    <t>Interest Expense</t>
  </si>
  <si>
    <t>Pre tax income</t>
  </si>
  <si>
    <t>Tax</t>
  </si>
  <si>
    <t>Income from continuing operations</t>
  </si>
  <si>
    <t>Income (loss) from discontinued operations</t>
  </si>
  <si>
    <t>Net Income</t>
  </si>
  <si>
    <t>Continuing operations</t>
  </si>
  <si>
    <t>Discontinued operations</t>
  </si>
  <si>
    <t>Shares</t>
  </si>
  <si>
    <t>EPS</t>
  </si>
  <si>
    <t>Total Current Assets</t>
  </si>
  <si>
    <t>PP&amp;E</t>
  </si>
  <si>
    <t>Operating Lease assets</t>
  </si>
  <si>
    <t>Goodwill</t>
  </si>
  <si>
    <t>Intangible assets</t>
  </si>
  <si>
    <t>Other</t>
  </si>
  <si>
    <t>Total Long term assets</t>
  </si>
  <si>
    <t>Total assets</t>
  </si>
  <si>
    <t>AP</t>
  </si>
  <si>
    <t>Current liabilities</t>
  </si>
  <si>
    <t>Total Debt</t>
  </si>
  <si>
    <t>Deferred Tax</t>
  </si>
  <si>
    <t>Employee benefit obligations</t>
  </si>
  <si>
    <t xml:space="preserve">Longterm operating lease </t>
  </si>
  <si>
    <t>Total Long term liabilities</t>
  </si>
  <si>
    <t>Total Liabilities</t>
  </si>
  <si>
    <t>SE</t>
  </si>
  <si>
    <t>L&amp;SE</t>
  </si>
  <si>
    <t>Income from discontinued operations</t>
  </si>
  <si>
    <t>Goodwill impairment</t>
  </si>
  <si>
    <t>SCE</t>
  </si>
  <si>
    <t>Accretion of debt</t>
  </si>
  <si>
    <t>Deferred tax expense</t>
  </si>
  <si>
    <t>Gains on sales of PP&amp;E</t>
  </si>
  <si>
    <t>CFFO from continuing operations</t>
  </si>
  <si>
    <t>Revenue y/y</t>
  </si>
  <si>
    <t>Operating expenses</t>
  </si>
  <si>
    <t>Operating Margin</t>
  </si>
  <si>
    <t>Net Cash</t>
  </si>
  <si>
    <t>CFFI from continuing operatiings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</si>
  <si>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</si>
  <si>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</si>
  <si>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</si>
  <si>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</si>
  <si>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</si>
  <si>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</si>
  <si>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</si>
  <si>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</si>
  <si>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</si>
  <si>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</si>
  <si>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</si>
  <si>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</si>
  <si>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</si>
  <si>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</si>
  <si>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Moved 18 billions pounds of freight in 2024</t>
  </si>
  <si>
    <t>acquired 28 service center from Yellow bankruptcy</t>
  </si>
  <si>
    <t>Europe operations</t>
  </si>
  <si>
    <t>Services</t>
  </si>
  <si>
    <t>Dedicated truckload</t>
  </si>
  <si>
    <t>LTL</t>
  </si>
  <si>
    <t>Full TL brokerage</t>
  </si>
  <si>
    <t>Managed transportation</t>
  </si>
  <si>
    <t>Last mile</t>
  </si>
  <si>
    <t>freight forwarding</t>
  </si>
  <si>
    <t>warehousing</t>
  </si>
  <si>
    <t>Multimodal solutions</t>
  </si>
  <si>
    <t>North America Operations</t>
  </si>
  <si>
    <t>XPO has operated solely as an asset based LTL provider in NA since Nov 2022</t>
  </si>
  <si>
    <t>Sold NA intermodal operation in March 2022</t>
  </si>
  <si>
    <t>Completed Spin off of RXO Nov 2022 (freight brokerage)</t>
  </si>
  <si>
    <t>Completed Spin off of GXO August 21 (contract logistics)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</si>
</sst>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0" fontId="0" fillId="0" borderId="0" xfId="0" applyNumberFormat="1"/>
    <xf numFmtId="40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A400-1049-4BF0-B270-C055CA673CA7}">
  <dimension ref="A1:H22"/>
  <sheetViews>
    <sheetView zoomScale="175" zoomScaleNormal="175" workbookViewId="0">
      <selection activeCell="H6" sqref="H6"/>
    </sheetView>
  </sheetViews>
  <sheetFormatPr defaultRowHeight="15" x14ac:dyDescent="0.25"/>
  <sheetData>
    <row r="1" spans="1:8" x14ac:dyDescent="0.25">
      <c r="A1" s="1"/>
    </row>
    <row r="2" spans="1:8" x14ac:dyDescent="0.25">
      <c r="H2" t="s">
        <v>88</v>
      </c>
    </row>
    <row r="3" spans="1:8" x14ac:dyDescent="0.25">
      <c r="C3" t="s">
        <v>0</v>
      </c>
      <c r="D3">
        <v>127.35</v>
      </c>
      <c r="H3" t="s">
        <v>90</v>
      </c>
    </row>
    <row r="4" spans="1:8" x14ac:dyDescent="0.25">
      <c r="C4" t="s">
        <v>1</v>
      </c>
      <c r="D4">
        <v>117.762083</v>
      </c>
      <c r="H4" t="s">
        <v>91</v>
      </c>
    </row>
    <row r="5" spans="1:8" x14ac:dyDescent="0.25">
      <c r="C5" t="s">
        <v>2</v>
      </c>
      <c r="D5">
        <f>+D3*D4</f>
        <v>14997.001270049999</v>
      </c>
      <c r="H5" t="s">
        <v>89</v>
      </c>
    </row>
    <row r="6" spans="1:8" x14ac:dyDescent="0.25">
      <c r="C6" t="s">
        <v>3</v>
      </c>
      <c r="D6">
        <v>225</v>
      </c>
    </row>
    <row r="7" spans="1:8" x14ac:dyDescent="0.25">
      <c r="C7" t="s">
        <v>4</v>
      </c>
      <c r="D7">
        <v>3507</v>
      </c>
    </row>
    <row r="8" spans="1:8" x14ac:dyDescent="0.25">
      <c r="C8" t="s">
        <v>5</v>
      </c>
      <c r="D8">
        <f>+D5-D6+D7</f>
        <v>18279.001270050001</v>
      </c>
    </row>
    <row r="10" spans="1:8" x14ac:dyDescent="0.25">
      <c r="C10" t="s">
        <v>75</v>
      </c>
    </row>
    <row r="11" spans="1:8" x14ac:dyDescent="0.25">
      <c r="C11" t="s">
        <v>76</v>
      </c>
    </row>
    <row r="13" spans="1:8" x14ac:dyDescent="0.25">
      <c r="C13" s="3" t="s">
        <v>77</v>
      </c>
      <c r="F13" s="3" t="s">
        <v>87</v>
      </c>
    </row>
    <row r="14" spans="1:8" x14ac:dyDescent="0.25">
      <c r="C14" s="2" t="s">
        <v>78</v>
      </c>
      <c r="F14" t="s">
        <v>80</v>
      </c>
    </row>
    <row r="15" spans="1:8" x14ac:dyDescent="0.25">
      <c r="C15" t="s">
        <v>79</v>
      </c>
    </row>
    <row r="16" spans="1:8" x14ac:dyDescent="0.25">
      <c r="C16" t="s">
        <v>80</v>
      </c>
    </row>
    <row r="17" spans="3:3" x14ac:dyDescent="0.25">
      <c r="C17" t="s">
        <v>81</v>
      </c>
    </row>
    <row r="18" spans="3:3" x14ac:dyDescent="0.25">
      <c r="C18" t="s">
        <v>82</v>
      </c>
    </row>
    <row r="19" spans="3:3" x14ac:dyDescent="0.25">
      <c r="C19" t="s">
        <v>83</v>
      </c>
    </row>
    <row r="20" spans="3:3" x14ac:dyDescent="0.25">
      <c r="C20" t="s">
        <v>84</v>
      </c>
    </row>
    <row r="21" spans="3:3" x14ac:dyDescent="0.25">
      <c r="C21" t="s">
        <v>85</v>
      </c>
    </row>
    <row r="22" spans="3:3" x14ac:dyDescent="0.25">
      <c r="C22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1AE0-AFBF-467E-91ED-1920DC2D1D4D}">
  <dimension ref="A1:U72"/>
  <sheetViews>
    <sheetView tabSelected="1" zoomScale="115" zoomScaleNormal="115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L62" sqref="L62"/>
    </sheetView>
  </sheetViews>
  <sheetFormatPr defaultRowHeight="15" x14ac:dyDescent="0.25"/>
  <cols>
    <col min="1" max="1" width="3.42578125" customWidth="1"/>
    <col min="2" max="2" width="40.7109375" bestFit="1" customWidth="1"/>
    <col min="3" max="11" width="9.140625" style="4"/>
    <col min="12" max="12" width="10.5703125" style="4" bestFit="1" customWidth="1"/>
    <col min="13" max="15" width="9.140625" style="4"/>
    <col min="16" max="16" width="10.5703125" style="4" bestFit="1" customWidth="1"/>
    <col min="17" max="18" width="9.140625" style="4"/>
    <col min="19" max="19" width="9.28515625" style="4" bestFit="1" customWidth="1"/>
    <col min="20" max="20" width="10.140625" style="4" bestFit="1" customWidth="1"/>
    <col min="21" max="21" width="11.5703125" style="4" bestFit="1" customWidth="1"/>
    <col min="22" max="16384" width="9.140625" style="4"/>
  </cols>
  <sheetData>
    <row r="1" spans="2:21" customFormat="1" x14ac:dyDescent="0.25"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S1">
        <v>2022</v>
      </c>
      <c r="T1">
        <v>2023</v>
      </c>
      <c r="U1">
        <v>2024</v>
      </c>
    </row>
    <row r="2" spans="2:21" x14ac:dyDescent="0.25">
      <c r="U2" s="5"/>
    </row>
    <row r="3" spans="2:21" x14ac:dyDescent="0.25">
      <c r="B3" t="s">
        <v>6</v>
      </c>
      <c r="L3" s="4">
        <v>2079</v>
      </c>
      <c r="P3" s="4">
        <v>2080</v>
      </c>
      <c r="S3" s="4">
        <v>7718</v>
      </c>
      <c r="T3" s="4">
        <v>7744</v>
      </c>
      <c r="U3" s="4">
        <v>8072</v>
      </c>
    </row>
    <row r="4" spans="2:21" x14ac:dyDescent="0.25">
      <c r="B4" t="s">
        <v>7</v>
      </c>
      <c r="L4" s="4">
        <v>854</v>
      </c>
      <c r="P4" s="4">
        <v>871</v>
      </c>
      <c r="S4" s="4">
        <v>2945</v>
      </c>
      <c r="T4" s="4">
        <v>3159</v>
      </c>
      <c r="U4" s="4">
        <v>3377</v>
      </c>
    </row>
    <row r="5" spans="2:21" x14ac:dyDescent="0.25">
      <c r="B5" t="s">
        <v>8</v>
      </c>
      <c r="L5" s="4">
        <v>436</v>
      </c>
      <c r="P5" s="4">
        <v>426</v>
      </c>
      <c r="S5" s="4">
        <v>1964</v>
      </c>
      <c r="T5" s="4">
        <v>1760</v>
      </c>
      <c r="U5" s="4">
        <v>1701</v>
      </c>
    </row>
    <row r="6" spans="2:21" x14ac:dyDescent="0.25">
      <c r="B6" t="s">
        <v>9</v>
      </c>
      <c r="L6" s="4">
        <v>402</v>
      </c>
      <c r="P6" s="4">
        <v>384</v>
      </c>
      <c r="S6" s="4">
        <v>1687</v>
      </c>
      <c r="T6" s="4">
        <v>1623</v>
      </c>
      <c r="U6" s="4">
        <v>1589</v>
      </c>
    </row>
    <row r="7" spans="2:21" x14ac:dyDescent="0.25">
      <c r="B7" t="s">
        <v>10</v>
      </c>
      <c r="L7" s="4">
        <v>21</v>
      </c>
      <c r="P7" s="4">
        <v>21</v>
      </c>
      <c r="S7" s="4">
        <v>58</v>
      </c>
      <c r="T7" s="4">
        <v>60</v>
      </c>
      <c r="U7" s="4">
        <v>80</v>
      </c>
    </row>
    <row r="8" spans="2:21" x14ac:dyDescent="0.25">
      <c r="B8" t="s">
        <v>11</v>
      </c>
      <c r="L8" s="4">
        <v>33</v>
      </c>
      <c r="P8" s="4">
        <v>40</v>
      </c>
      <c r="S8" s="4">
        <v>183</v>
      </c>
      <c r="T8" s="4">
        <v>167</v>
      </c>
      <c r="U8" s="4">
        <v>134</v>
      </c>
    </row>
    <row r="9" spans="2:21" x14ac:dyDescent="0.25">
      <c r="B9" t="s">
        <v>12</v>
      </c>
      <c r="L9" s="4">
        <v>-4</v>
      </c>
      <c r="P9" s="4">
        <v>-1</v>
      </c>
      <c r="S9" s="4">
        <v>-60</v>
      </c>
      <c r="T9" s="4">
        <v>-5</v>
      </c>
      <c r="U9" s="4">
        <v>-40</v>
      </c>
    </row>
    <row r="10" spans="2:21" x14ac:dyDescent="0.25">
      <c r="B10" t="s">
        <v>13</v>
      </c>
      <c r="L10" s="4">
        <v>122</v>
      </c>
      <c r="P10" s="4">
        <v>131</v>
      </c>
      <c r="S10" s="4">
        <v>392</v>
      </c>
      <c r="T10" s="4">
        <v>432</v>
      </c>
      <c r="U10" s="4">
        <v>490</v>
      </c>
    </row>
    <row r="11" spans="2:21" x14ac:dyDescent="0.25">
      <c r="B11" t="s">
        <v>14</v>
      </c>
      <c r="S11" s="4">
        <v>64</v>
      </c>
      <c r="T11" s="4">
        <v>0</v>
      </c>
      <c r="U11" s="4">
        <v>0</v>
      </c>
    </row>
    <row r="12" spans="2:21" x14ac:dyDescent="0.25">
      <c r="B12" t="s">
        <v>15</v>
      </c>
      <c r="P12" s="4">
        <v>-2</v>
      </c>
      <c r="S12" s="4">
        <v>0</v>
      </c>
      <c r="T12" s="4">
        <v>8</v>
      </c>
      <c r="U12" s="4">
        <v>0</v>
      </c>
    </row>
    <row r="13" spans="2:21" x14ac:dyDescent="0.25">
      <c r="B13" t="s">
        <v>16</v>
      </c>
      <c r="L13" s="4">
        <v>12</v>
      </c>
      <c r="P13" s="4">
        <v>3</v>
      </c>
      <c r="S13" s="4">
        <v>58</v>
      </c>
      <c r="T13" s="4">
        <v>58</v>
      </c>
      <c r="U13" s="4">
        <v>53</v>
      </c>
    </row>
    <row r="14" spans="2:21" x14ac:dyDescent="0.25">
      <c r="B14" t="s">
        <v>17</v>
      </c>
      <c r="L14" s="4">
        <v>6</v>
      </c>
      <c r="P14" s="4">
        <v>8</v>
      </c>
      <c r="S14" s="4">
        <v>50</v>
      </c>
      <c r="T14" s="4">
        <v>44</v>
      </c>
      <c r="U14" s="4">
        <v>27</v>
      </c>
    </row>
    <row r="15" spans="2:21" x14ac:dyDescent="0.25">
      <c r="B15" t="s">
        <v>57</v>
      </c>
      <c r="L15" s="4">
        <f>SUM(L4:L8)-L9-L12+L10+L13+L14</f>
        <v>1890</v>
      </c>
      <c r="P15" s="4">
        <f>SUM(P4:P8)-P9-P12+P10+P13+P14</f>
        <v>1887</v>
      </c>
      <c r="S15" s="4">
        <f>SUM(S4:S14)</f>
        <v>7341</v>
      </c>
      <c r="T15" s="4">
        <f>SUM(T4:T14)</f>
        <v>7306</v>
      </c>
      <c r="U15" s="4">
        <f>SUM(U4:U14)</f>
        <v>7411</v>
      </c>
    </row>
    <row r="16" spans="2:21" x14ac:dyDescent="0.25">
      <c r="B16" t="s">
        <v>18</v>
      </c>
      <c r="L16" s="4">
        <f>SUM(L3-L15)</f>
        <v>189</v>
      </c>
      <c r="P16" s="4">
        <f>SUM(P3-P15)</f>
        <v>193</v>
      </c>
      <c r="S16" s="4">
        <f>+S3-S15</f>
        <v>377</v>
      </c>
      <c r="T16" s="4">
        <f>+T3-T15</f>
        <v>438</v>
      </c>
      <c r="U16" s="4">
        <f>+U3-U15</f>
        <v>661</v>
      </c>
    </row>
    <row r="18" spans="2:21" x14ac:dyDescent="0.25">
      <c r="B18" t="s">
        <v>19</v>
      </c>
      <c r="L18" s="4">
        <v>-6</v>
      </c>
      <c r="P18" s="4">
        <v>-2</v>
      </c>
      <c r="S18" s="4">
        <v>-55</v>
      </c>
      <c r="T18" s="4">
        <v>-15</v>
      </c>
      <c r="U18" s="4">
        <v>-37</v>
      </c>
    </row>
    <row r="19" spans="2:21" x14ac:dyDescent="0.25">
      <c r="B19" t="s">
        <v>20</v>
      </c>
      <c r="S19" s="4">
        <v>39</v>
      </c>
      <c r="T19" s="4">
        <v>25</v>
      </c>
      <c r="U19" s="4">
        <v>0</v>
      </c>
    </row>
    <row r="20" spans="2:21" x14ac:dyDescent="0.25">
      <c r="B20" t="s">
        <v>21</v>
      </c>
      <c r="L20" s="4">
        <v>56</v>
      </c>
      <c r="P20" s="4">
        <v>56</v>
      </c>
      <c r="S20" s="4">
        <v>135</v>
      </c>
      <c r="T20" s="4">
        <v>168</v>
      </c>
      <c r="U20" s="4">
        <v>223</v>
      </c>
    </row>
    <row r="21" spans="2:21" x14ac:dyDescent="0.25">
      <c r="B21" t="s">
        <v>22</v>
      </c>
      <c r="L21" s="4">
        <f>+L16+L18-L20</f>
        <v>127</v>
      </c>
      <c r="P21" s="4">
        <f>+P16+P18-P20</f>
        <v>135</v>
      </c>
    </row>
    <row r="22" spans="2:21" x14ac:dyDescent="0.25">
      <c r="B22" t="s">
        <v>23</v>
      </c>
      <c r="L22" s="4">
        <v>-3</v>
      </c>
      <c r="P22" s="4">
        <v>37</v>
      </c>
      <c r="S22" s="4">
        <v>74</v>
      </c>
      <c r="T22" s="4">
        <v>68</v>
      </c>
      <c r="U22" s="4">
        <v>86</v>
      </c>
    </row>
    <row r="23" spans="2:21" x14ac:dyDescent="0.25">
      <c r="B23" t="s">
        <v>24</v>
      </c>
    </row>
    <row r="24" spans="2:21" x14ac:dyDescent="0.25">
      <c r="B24" t="s">
        <v>25</v>
      </c>
    </row>
    <row r="25" spans="2:21" x14ac:dyDescent="0.25">
      <c r="B25" t="s">
        <v>27</v>
      </c>
    </row>
    <row r="26" spans="2:21" x14ac:dyDescent="0.25">
      <c r="B26" t="s">
        <v>28</v>
      </c>
    </row>
    <row r="27" spans="2:21" x14ac:dyDescent="0.25">
      <c r="B27" t="s">
        <v>26</v>
      </c>
      <c r="L27" s="4">
        <v>150</v>
      </c>
      <c r="P27" s="4">
        <v>106</v>
      </c>
    </row>
    <row r="29" spans="2:21" x14ac:dyDescent="0.25">
      <c r="B29" t="s">
        <v>58</v>
      </c>
    </row>
    <row r="30" spans="2:21" x14ac:dyDescent="0.25">
      <c r="B30" t="s">
        <v>56</v>
      </c>
      <c r="P30" s="6"/>
      <c r="S30" s="6"/>
      <c r="T30" s="6">
        <f>+(T3-S3)/S3</f>
        <v>3.3687483804094327E-3</v>
      </c>
      <c r="U30" s="6">
        <f>+(U3-T3)/T3</f>
        <v>4.2355371900826444E-2</v>
      </c>
    </row>
    <row r="32" spans="2:21" x14ac:dyDescent="0.25">
      <c r="B32" t="s">
        <v>29</v>
      </c>
      <c r="L32" s="4">
        <v>120</v>
      </c>
      <c r="P32" s="4">
        <v>119</v>
      </c>
    </row>
    <row r="33" spans="2:21" x14ac:dyDescent="0.25">
      <c r="B33" t="s">
        <v>30</v>
      </c>
      <c r="L33" s="4">
        <f>+L27/L32</f>
        <v>1.25</v>
      </c>
      <c r="P33" s="4">
        <f>+P27/P32</f>
        <v>0.89075630252100846</v>
      </c>
    </row>
    <row r="36" spans="2:21" x14ac:dyDescent="0.25">
      <c r="B36" t="s">
        <v>3</v>
      </c>
      <c r="L36" s="4">
        <v>246</v>
      </c>
      <c r="P36" s="4">
        <v>225</v>
      </c>
      <c r="T36" s="4">
        <v>412</v>
      </c>
      <c r="U36" s="4">
        <v>246</v>
      </c>
    </row>
    <row r="37" spans="2:21" x14ac:dyDescent="0.25">
      <c r="B37" t="s">
        <v>31</v>
      </c>
      <c r="L37" s="4">
        <v>1505</v>
      </c>
      <c r="P37" s="4">
        <v>1623</v>
      </c>
      <c r="T37" s="4">
        <v>1593</v>
      </c>
      <c r="U37" s="4">
        <v>1505</v>
      </c>
    </row>
    <row r="38" spans="2:21" x14ac:dyDescent="0.25">
      <c r="B38" t="s">
        <v>32</v>
      </c>
      <c r="L38" s="4">
        <v>3402</v>
      </c>
      <c r="P38" s="4">
        <v>3646</v>
      </c>
      <c r="T38" s="4">
        <v>3075</v>
      </c>
      <c r="U38" s="4">
        <v>3042</v>
      </c>
    </row>
    <row r="39" spans="2:21" x14ac:dyDescent="0.25">
      <c r="B39" t="s">
        <v>33</v>
      </c>
      <c r="L39" s="4">
        <v>727</v>
      </c>
      <c r="P39" s="4">
        <v>756</v>
      </c>
      <c r="T39" s="4">
        <v>708</v>
      </c>
      <c r="U39" s="4">
        <v>727</v>
      </c>
    </row>
    <row r="40" spans="2:21" x14ac:dyDescent="0.25">
      <c r="B40" t="s">
        <v>34</v>
      </c>
      <c r="L40" s="4">
        <v>1461</v>
      </c>
      <c r="P40" s="4">
        <v>1553</v>
      </c>
      <c r="T40" s="4">
        <v>1498</v>
      </c>
      <c r="U40" s="4">
        <v>1461</v>
      </c>
    </row>
    <row r="41" spans="2:21" x14ac:dyDescent="0.25">
      <c r="B41" t="s">
        <v>35</v>
      </c>
      <c r="L41" s="4">
        <v>361</v>
      </c>
      <c r="P41" s="4">
        <v>340</v>
      </c>
      <c r="T41" s="4">
        <v>422</v>
      </c>
      <c r="U41" s="4">
        <v>361</v>
      </c>
    </row>
    <row r="42" spans="2:21" x14ac:dyDescent="0.25">
      <c r="B42" t="s">
        <v>36</v>
      </c>
      <c r="L42" s="4">
        <v>254</v>
      </c>
      <c r="P42" s="4">
        <v>214</v>
      </c>
      <c r="T42" s="4">
        <v>196</v>
      </c>
      <c r="U42" s="4">
        <v>254</v>
      </c>
    </row>
    <row r="43" spans="2:21" x14ac:dyDescent="0.25">
      <c r="B43" t="s">
        <v>37</v>
      </c>
      <c r="L43" s="4">
        <v>6206</v>
      </c>
      <c r="P43" s="4">
        <v>6510</v>
      </c>
      <c r="T43" s="4">
        <v>5899</v>
      </c>
      <c r="U43" s="4">
        <v>6206</v>
      </c>
    </row>
    <row r="44" spans="2:21" x14ac:dyDescent="0.25">
      <c r="B44" t="s">
        <v>38</v>
      </c>
      <c r="L44" s="4">
        <v>7712</v>
      </c>
      <c r="P44" s="4">
        <v>8133</v>
      </c>
    </row>
    <row r="46" spans="2:21" x14ac:dyDescent="0.25">
      <c r="B46" t="s">
        <v>39</v>
      </c>
      <c r="L46" s="4">
        <v>477</v>
      </c>
      <c r="P46" s="4">
        <v>498</v>
      </c>
      <c r="T46" s="4">
        <v>532</v>
      </c>
      <c r="U46" s="4">
        <v>477</v>
      </c>
    </row>
    <row r="47" spans="2:21" x14ac:dyDescent="0.25">
      <c r="B47" t="s">
        <v>40</v>
      </c>
      <c r="L47" s="4">
        <v>1420</v>
      </c>
      <c r="P47" s="4">
        <v>1599</v>
      </c>
      <c r="T47" s="4">
        <v>1590</v>
      </c>
      <c r="U47" s="4">
        <v>1420</v>
      </c>
    </row>
    <row r="48" spans="2:21" x14ac:dyDescent="0.25">
      <c r="B48" t="s">
        <v>42</v>
      </c>
      <c r="L48" s="4">
        <v>393</v>
      </c>
      <c r="P48" s="4">
        <v>383</v>
      </c>
      <c r="T48" s="4">
        <v>337</v>
      </c>
      <c r="U48" s="4">
        <v>393</v>
      </c>
    </row>
    <row r="49" spans="2:21" x14ac:dyDescent="0.25">
      <c r="B49" t="s">
        <v>43</v>
      </c>
      <c r="L49" s="4">
        <v>85</v>
      </c>
      <c r="P49" s="4">
        <v>85</v>
      </c>
      <c r="T49" s="4">
        <v>91</v>
      </c>
      <c r="U49" s="4">
        <v>85</v>
      </c>
    </row>
    <row r="50" spans="2:21" x14ac:dyDescent="0.25">
      <c r="B50" t="s">
        <v>44</v>
      </c>
      <c r="L50" s="4">
        <v>603</v>
      </c>
      <c r="P50" s="4">
        <v>612</v>
      </c>
      <c r="T50" s="4">
        <v>588</v>
      </c>
      <c r="U50" s="4">
        <v>603</v>
      </c>
    </row>
    <row r="51" spans="2:21" x14ac:dyDescent="0.25">
      <c r="B51" t="s">
        <v>36</v>
      </c>
      <c r="L51" s="4">
        <v>283</v>
      </c>
      <c r="P51" s="4">
        <v>329</v>
      </c>
      <c r="T51" s="4">
        <v>285</v>
      </c>
      <c r="U51" s="4">
        <v>283</v>
      </c>
    </row>
    <row r="52" spans="2:21" x14ac:dyDescent="0.25">
      <c r="B52" t="s">
        <v>45</v>
      </c>
      <c r="L52" s="4">
        <v>4690</v>
      </c>
      <c r="P52" s="4">
        <v>4753</v>
      </c>
      <c r="T52" s="4">
        <v>4636</v>
      </c>
      <c r="U52" s="4">
        <v>4690</v>
      </c>
    </row>
    <row r="54" spans="2:21" x14ac:dyDescent="0.25">
      <c r="B54" t="s">
        <v>41</v>
      </c>
      <c r="L54" s="4">
        <v>3325</v>
      </c>
      <c r="P54" s="4">
        <v>3344</v>
      </c>
      <c r="T54" s="4">
        <v>3335</v>
      </c>
      <c r="U54" s="4">
        <v>3325</v>
      </c>
    </row>
    <row r="55" spans="2:21" x14ac:dyDescent="0.25">
      <c r="B55" t="s">
        <v>46</v>
      </c>
      <c r="L55" s="4">
        <f>+L52+L47</f>
        <v>6110</v>
      </c>
      <c r="P55" s="4">
        <f>+P52+P47</f>
        <v>6352</v>
      </c>
      <c r="T55" s="4">
        <f>+T52+T47</f>
        <v>6226</v>
      </c>
      <c r="U55" s="4">
        <f>+U52+U47</f>
        <v>6110</v>
      </c>
    </row>
    <row r="56" spans="2:21" x14ac:dyDescent="0.25">
      <c r="B56" t="s">
        <v>47</v>
      </c>
      <c r="L56" s="4">
        <v>1601</v>
      </c>
      <c r="P56" s="4">
        <v>1781</v>
      </c>
      <c r="T56" s="4">
        <v>1266</v>
      </c>
      <c r="U56" s="4">
        <v>1601</v>
      </c>
    </row>
    <row r="57" spans="2:21" x14ac:dyDescent="0.25">
      <c r="B57" t="s">
        <v>48</v>
      </c>
      <c r="L57" s="4">
        <f>+L56+L55</f>
        <v>7711</v>
      </c>
      <c r="P57" s="4">
        <f>+P56+P55</f>
        <v>8133</v>
      </c>
      <c r="T57" s="4">
        <f>+T55+T56</f>
        <v>7492</v>
      </c>
      <c r="U57" s="4">
        <f>+U55+U56</f>
        <v>7711</v>
      </c>
    </row>
    <row r="58" spans="2:21" x14ac:dyDescent="0.25">
      <c r="B58" t="s">
        <v>59</v>
      </c>
      <c r="L58" s="4">
        <f>+L36-L54</f>
        <v>-3079</v>
      </c>
      <c r="P58" s="4">
        <f>+P36-P54</f>
        <v>-3119</v>
      </c>
      <c r="T58" s="4">
        <f>+T36-T54</f>
        <v>-2923</v>
      </c>
      <c r="U58" s="4">
        <f>+U36-U54</f>
        <v>-3079</v>
      </c>
    </row>
    <row r="61" spans="2:21" x14ac:dyDescent="0.25">
      <c r="B61" t="s">
        <v>26</v>
      </c>
      <c r="L61" s="4">
        <v>150</v>
      </c>
      <c r="P61" s="4">
        <v>106</v>
      </c>
      <c r="S61" s="4">
        <v>666</v>
      </c>
      <c r="T61" s="4">
        <v>189</v>
      </c>
      <c r="U61" s="4">
        <v>387</v>
      </c>
    </row>
    <row r="62" spans="2:21" x14ac:dyDescent="0.25">
      <c r="B62" t="s">
        <v>49</v>
      </c>
      <c r="S62" s="4">
        <v>482</v>
      </c>
      <c r="T62" s="4">
        <v>-3</v>
      </c>
      <c r="U62" s="4">
        <v>0</v>
      </c>
    </row>
    <row r="63" spans="2:21" x14ac:dyDescent="0.25">
      <c r="B63" t="s">
        <v>24</v>
      </c>
      <c r="S63" s="4">
        <v>184</v>
      </c>
      <c r="T63" s="4">
        <v>192</v>
      </c>
      <c r="U63" s="4">
        <v>387</v>
      </c>
    </row>
    <row r="65" spans="2:21" x14ac:dyDescent="0.25">
      <c r="B65" t="s">
        <v>13</v>
      </c>
      <c r="S65" s="4">
        <v>392</v>
      </c>
      <c r="T65" s="4">
        <v>432</v>
      </c>
      <c r="U65" s="4">
        <v>490</v>
      </c>
    </row>
    <row r="66" spans="2:21" x14ac:dyDescent="0.25">
      <c r="B66" t="s">
        <v>50</v>
      </c>
      <c r="S66" s="4">
        <v>64</v>
      </c>
      <c r="T66" s="4">
        <v>0</v>
      </c>
      <c r="U66" s="4">
        <v>0</v>
      </c>
    </row>
    <row r="67" spans="2:21" x14ac:dyDescent="0.25">
      <c r="B67" t="s">
        <v>51</v>
      </c>
      <c r="S67" s="4">
        <v>77</v>
      </c>
      <c r="T67" s="4">
        <v>78</v>
      </c>
      <c r="U67" s="4">
        <v>87</v>
      </c>
    </row>
    <row r="68" spans="2:21" x14ac:dyDescent="0.25">
      <c r="B68" t="s">
        <v>52</v>
      </c>
      <c r="S68" s="4">
        <v>16</v>
      </c>
      <c r="T68" s="4">
        <v>11</v>
      </c>
      <c r="U68" s="4">
        <v>11</v>
      </c>
    </row>
    <row r="69" spans="2:21" x14ac:dyDescent="0.25">
      <c r="B69" t="s">
        <v>53</v>
      </c>
      <c r="S69" s="4">
        <v>80</v>
      </c>
      <c r="T69" s="4">
        <v>31</v>
      </c>
      <c r="U69" s="4">
        <v>57</v>
      </c>
    </row>
    <row r="70" spans="2:21" x14ac:dyDescent="0.25">
      <c r="B70" t="s">
        <v>54</v>
      </c>
      <c r="S70" s="4">
        <v>-60</v>
      </c>
      <c r="T70" s="4">
        <v>-5</v>
      </c>
      <c r="U70" s="4">
        <v>-40</v>
      </c>
    </row>
    <row r="71" spans="2:21" x14ac:dyDescent="0.25">
      <c r="B71" t="s">
        <v>55</v>
      </c>
      <c r="S71" s="4">
        <v>-861</v>
      </c>
      <c r="T71" s="4">
        <v>761</v>
      </c>
      <c r="U71" s="4">
        <v>-226</v>
      </c>
    </row>
    <row r="72" spans="2:21" x14ac:dyDescent="0.25">
      <c r="B72" t="s">
        <v>60</v>
      </c>
      <c r="S72" s="4">
        <v>-404</v>
      </c>
      <c r="T72" s="4">
        <v>-1502</v>
      </c>
      <c r="U72" s="4">
        <v>-702</v>
      </c>
    </row>
  </sheetData>
  <pageMargins left="0.7" right="0.7" top="0.75" bottom="0.75" header="0.3" footer="0.3"/>
  <ignoredErrors>
    <ignoredError sqref="S15:U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Flynn</dc:creator>
  <cp:lastModifiedBy>Ethan Flynn</cp:lastModifiedBy>
  <dcterms:created xsi:type="dcterms:W3CDTF">2025-09-30T04:04:33Z</dcterms:created>
  <dcterms:modified xsi:type="dcterms:W3CDTF">2025-10-13T02:25:14Z</dcterms:modified>
</cp:coreProperties>
</file>