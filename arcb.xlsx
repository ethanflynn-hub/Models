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than\Downloads\"/>
    </mc:Choice>
  </mc:AlternateContent>
  <xr:revisionPtr revIDLastSave="0" documentId="8_{5DF50D95-6F24-4793-9AE2-766202DC72BC}" xr6:coauthVersionLast="47" xr6:coauthVersionMax="47" xr10:uidLastSave="{00000000-0000-0000-0000-000000000000}"/>
  <bookViews>
    <workbookView xWindow="-120" yWindow="-120" windowWidth="29040" windowHeight="15840" activeTab="1" xr2:uid="{19D556FE-279C-4B40-806E-E8741C3DB8E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2" l="1"/>
  <c r="M13" i="2"/>
  <c r="M12" i="2"/>
  <c r="Q17" i="2"/>
  <c r="Q16" i="2"/>
  <c r="Q13" i="2"/>
  <c r="Q12" i="2"/>
  <c r="W12" i="2"/>
  <c r="Z77" i="2"/>
  <c r="Y77" i="2"/>
  <c r="Z68" i="2"/>
  <c r="Z61" i="2"/>
  <c r="Z41" i="2"/>
  <c r="Z20" i="2"/>
  <c r="Z19" i="2"/>
  <c r="Z17" i="2"/>
  <c r="O41" i="2"/>
  <c r="K41" i="2"/>
  <c r="K19" i="2"/>
  <c r="K21" i="2" s="1"/>
  <c r="O19" i="2"/>
  <c r="O20" i="2"/>
  <c r="K20" i="2"/>
  <c r="O17" i="2"/>
  <c r="O16" i="2"/>
  <c r="O10" i="2"/>
  <c r="O12" i="2" s="1"/>
  <c r="O13" i="2" s="1"/>
  <c r="K12" i="2"/>
  <c r="K13" i="2" s="1"/>
  <c r="K8" i="2"/>
  <c r="K16" i="2" s="1"/>
  <c r="Z21" i="2" l="1"/>
  <c r="O21" i="2"/>
  <c r="K10" i="2"/>
  <c r="V17" i="2"/>
  <c r="W17" i="2"/>
  <c r="W38" i="2"/>
  <c r="W41" i="2" s="1"/>
  <c r="W43" i="2" s="1"/>
  <c r="W29" i="2"/>
  <c r="W20" i="2"/>
  <c r="W19" i="2"/>
  <c r="X77" i="2"/>
  <c r="W77" i="2"/>
  <c r="Y68" i="2"/>
  <c r="W68" i="2"/>
  <c r="W61" i="2"/>
  <c r="X61" i="2"/>
  <c r="Y61" i="2"/>
  <c r="Y38" i="2"/>
  <c r="Y41" i="2" s="1"/>
  <c r="X38" i="2"/>
  <c r="X41" i="2" s="1"/>
  <c r="Y29" i="2"/>
  <c r="X29" i="2"/>
  <c r="X20" i="2"/>
  <c r="Z8" i="2" l="1"/>
  <c r="AA6" i="2"/>
  <c r="AB6" i="2" s="1"/>
  <c r="W21" i="2"/>
  <c r="Y20" i="2"/>
  <c r="X19" i="2"/>
  <c r="X21" i="2" s="1"/>
  <c r="Y19" i="2"/>
  <c r="X17" i="2"/>
  <c r="Y17" i="2"/>
  <c r="Y8" i="2"/>
  <c r="Y16" i="2" s="1"/>
  <c r="X8" i="2"/>
  <c r="X10" i="2" s="1"/>
  <c r="X12" i="2" s="1"/>
  <c r="X13" i="2" s="1"/>
  <c r="W8" i="2"/>
  <c r="W10" i="2" s="1"/>
  <c r="W13" i="2" s="1"/>
  <c r="P17" i="2"/>
  <c r="L77" i="2"/>
  <c r="L68" i="2"/>
  <c r="L61" i="2"/>
  <c r="P38" i="2"/>
  <c r="L38" i="2"/>
  <c r="L41" i="2" s="1"/>
  <c r="L29" i="2"/>
  <c r="P8" i="2"/>
  <c r="P10" i="2" s="1"/>
  <c r="P12" i="2" s="1"/>
  <c r="P13" i="2" s="1"/>
  <c r="L8" i="2"/>
  <c r="L10" i="2" s="1"/>
  <c r="L12" i="2" s="1"/>
  <c r="L20" i="2"/>
  <c r="L19" i="2"/>
  <c r="P77" i="2"/>
  <c r="P68" i="2"/>
  <c r="P41" i="2"/>
  <c r="P29" i="2"/>
  <c r="P20" i="2"/>
  <c r="P19" i="2"/>
  <c r="I6" i="1"/>
  <c r="I5" i="1"/>
  <c r="I4" i="1"/>
  <c r="Z10" i="2" l="1"/>
  <c r="Z12" i="2" s="1"/>
  <c r="Z16" i="2"/>
  <c r="L16" i="2"/>
  <c r="AA11" i="2"/>
  <c r="AA7" i="2"/>
  <c r="AA8" i="2" s="1"/>
  <c r="AA10" i="2" s="1"/>
  <c r="AA12" i="2" s="1"/>
  <c r="Z13" i="2"/>
  <c r="Y21" i="2"/>
  <c r="Y10" i="2"/>
  <c r="Y12" i="2" s="1"/>
  <c r="Y13" i="2" s="1"/>
  <c r="P16" i="2"/>
  <c r="W16" i="2"/>
  <c r="X16" i="2"/>
  <c r="L21" i="2"/>
  <c r="P21" i="2"/>
  <c r="L13" i="2"/>
  <c r="P61" i="2"/>
  <c r="I7" i="1"/>
  <c r="AA13" i="2" l="1"/>
  <c r="AB11" i="2"/>
  <c r="AC6" i="2"/>
  <c r="AC8" i="2" s="1"/>
  <c r="AB7" i="2"/>
  <c r="AB8" i="2" s="1"/>
  <c r="AB10" i="2" s="1"/>
  <c r="AB12" i="2" s="1"/>
  <c r="AB13" i="2" l="1"/>
  <c r="AC7" i="2"/>
  <c r="AC10" i="2" s="1"/>
  <c r="AC11" i="2"/>
  <c r="AD6" i="2"/>
  <c r="AD8" i="2" s="1"/>
  <c r="AC12" i="2" l="1"/>
  <c r="AC13" i="2" s="1"/>
  <c r="AE6" i="2"/>
  <c r="AE8" i="2" s="1"/>
  <c r="AD7" i="2"/>
  <c r="AD10" i="2" s="1"/>
  <c r="AD11" i="2"/>
  <c r="AD12" i="2" l="1"/>
  <c r="AF6" i="2"/>
  <c r="AE7" i="2"/>
  <c r="AE10" i="2" s="1"/>
  <c r="AE11" i="2"/>
  <c r="AF8" i="2" l="1"/>
  <c r="AG6" i="2"/>
  <c r="AE12" i="2"/>
  <c r="AE13" i="2" s="1"/>
  <c r="AG8" i="2"/>
  <c r="AF11" i="2"/>
  <c r="AF7" i="2"/>
  <c r="AF10" i="2" s="1"/>
  <c r="AF12" i="2" s="1"/>
  <c r="AF13" i="2" s="1"/>
  <c r="AD13" i="2"/>
  <c r="AG11" i="2" l="1"/>
  <c r="AG7" i="2"/>
  <c r="AG10" i="2" s="1"/>
  <c r="AG12" i="2" s="1"/>
  <c r="AG13" i="2" s="1"/>
  <c r="AH6" i="2"/>
  <c r="AH8" i="2" s="1"/>
  <c r="AH11" i="2" l="1"/>
  <c r="AI6" i="2"/>
  <c r="AH7" i="2"/>
  <c r="AH10" i="2" s="1"/>
  <c r="AH12" i="2" s="1"/>
  <c r="AH13" i="2" s="1"/>
  <c r="AJ6" i="2" l="1"/>
  <c r="AJ8" i="2" s="1"/>
  <c r="AI8" i="2"/>
  <c r="AI7" i="2"/>
  <c r="AI10" i="2" s="1"/>
  <c r="AI11" i="2"/>
  <c r="AI12" i="2" l="1"/>
  <c r="AI13" i="2" s="1"/>
  <c r="AJ7" i="2"/>
  <c r="AJ10" i="2" s="1"/>
  <c r="AJ11" i="2"/>
  <c r="AJ12" i="2" l="1"/>
  <c r="AM8" i="2"/>
  <c r="AM9" i="2" s="1"/>
  <c r="AJ1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Ethan Flynn</author>
  </authors>
  <commentList>
    <comment ref="X68" authorId="0" shapeId="0" xr:uid="{BDF2B23C-51AD-4F4D-8633-356B93806DDE}">
      <text>
        <r>
          <rPr>
            <b/>
            <sz val="9"/>
            <color indexed="81"/>
            <rFont val="Tahoma"/>
            <charset val="1"/>
          </rPr>
          <t>Ethan Flynn:</t>
        </r>
        <r>
          <rPr>
            <sz val="9"/>
            <color indexed="81"/>
            <rFont val="Tahoma"/>
            <charset val="1"/>
          </rPr>
          <t xml:space="preserve">
100.949 in proceeds form sale of discontinued operations (fleetnet)
</t>
        </r>
      </text>
    </comment>
    <comment ref="X77" authorId="0" shapeId="0" xr:uid="{60D31F85-FE87-4D08-9D9B-689E372BA7AF}">
      <text>
        <r>
          <rPr>
            <b/>
            <sz val="9"/>
            <color indexed="81"/>
            <rFont val="Tahoma"/>
            <charset val="1"/>
          </rPr>
          <t>Ethan Flynn:</t>
        </r>
        <r>
          <rPr>
            <sz val="9"/>
            <color indexed="81"/>
            <rFont val="Tahoma"/>
            <charset val="1"/>
          </rPr>
          <t xml:space="preserve">
Book is -196.610
</t>
        </r>
      </text>
    </comment>
    <comment ref="Y77" authorId="0" shapeId="0" xr:uid="{880D4942-D223-4DDB-82AF-7DB9F6D43FF9}">
      <text>
        <r>
          <rPr>
            <b/>
            <sz val="9"/>
            <color indexed="81"/>
            <rFont val="Tahoma"/>
            <charset val="1"/>
          </rPr>
          <t>Ethan Flynn:</t>
        </r>
        <r>
          <rPr>
            <sz val="9"/>
            <color indexed="81"/>
            <rFont val="Tahoma"/>
            <charset val="1"/>
          </rPr>
          <t xml:space="preserve">
book says -233.349
</t>
        </r>
      </text>
    </comment>
    <comment ref="B79" authorId="0" shapeId="0" xr:uid="{C4189A35-52DD-4921-AC42-41224F68E1BD}">
      <text>
        <r>
          <rPr>
            <b/>
            <sz val="9"/>
            <color indexed="81"/>
            <rFont val="Tahoma"/>
            <charset val="1"/>
          </rPr>
          <t>Ethan Flynn:</t>
        </r>
        <r>
          <rPr>
            <sz val="9"/>
            <color indexed="81"/>
            <rFont val="Tahoma"/>
            <charset val="1"/>
          </rPr>
          <t xml:space="preserve">
cic
</t>
        </r>
      </text>
    </comment>
  </commentList>
</comments>
</file>

<file path=xl/sharedStrings.xml><?xml version="1.0" encoding="utf-8"?>
<sst xmlns="http://schemas.openxmlformats.org/spreadsheetml/2006/main" count="258" uniqueCount="251">
  <si>
    <t>Price</t>
  </si>
  <si>
    <t>S/O</t>
  </si>
  <si>
    <t>MC</t>
  </si>
  <si>
    <t>Cash</t>
  </si>
  <si>
    <t>Debt</t>
  </si>
  <si>
    <t>EV</t>
  </si>
  <si>
    <t>Subsidiaries (Solutions)</t>
  </si>
  <si>
    <t>ABF Freight (LTL)</t>
  </si>
  <si>
    <t>Panther Premium Logistics (ground expedite fleet)</t>
  </si>
  <si>
    <t>MoLo (Truckload Brokerage)</t>
  </si>
  <si>
    <t>U-Pack (Hosehold goods moving)</t>
  </si>
  <si>
    <t>Asset Based</t>
  </si>
  <si>
    <t>64% of Total Revenues (before other revenues and intercompany eliminations</t>
  </si>
  <si>
    <t>No single customer accounted for more than 3% of total LTL Revenue</t>
  </si>
  <si>
    <t>10 Largest customers accounted ~16% of total LTL Revenue</t>
  </si>
  <si>
    <t>operating since 1923</t>
  </si>
  <si>
    <t>241 Service Centers</t>
  </si>
  <si>
    <t>Serves US, Canada, and Puerto Rico (motor carrier for Mexico)</t>
  </si>
  <si>
    <t>local pickup and delivery service centers combined with larger distribution facilities (infrastucture intensive; high barrier to entry)</t>
  </si>
  <si>
    <t>Real Estate</t>
  </si>
  <si>
    <t>local pickup</t>
  </si>
  <si>
    <t>delivery</t>
  </si>
  <si>
    <t>cross docking shipments</t>
  </si>
  <si>
    <t>Cost of LTL Network (Primarily Fixed)</t>
  </si>
  <si>
    <t>Labor costs (50.5% of Asset Based Revenues 2024(</t>
  </si>
  <si>
    <t>Employee Obligations</t>
  </si>
  <si>
    <t xml:space="preserve">ABF National Master Freight Agreement </t>
  </si>
  <si>
    <t>&gt;~4.2% compounded annual wage increase</t>
  </si>
  <si>
    <t>&gt; profit sharing bonuses upon certain operation ratios (3% maximum)</t>
  </si>
  <si>
    <t xml:space="preserve">Pention and Welfare </t>
  </si>
  <si>
    <t>Asset Light</t>
  </si>
  <si>
    <t>Revenues decreased ~36% for 2024 and ~37% for 2023</t>
  </si>
  <si>
    <t>No single customer accounted for more than 5% of total Asset Light Revenue</t>
  </si>
  <si>
    <t>10 Largest customers accounted ~19% of total asset Light Revenue</t>
  </si>
  <si>
    <t>operating since 2013</t>
  </si>
  <si>
    <t>Truckload (MoLo)</t>
  </si>
  <si>
    <t>Capacity Solutions</t>
  </si>
  <si>
    <t>&gt; dry van over the road</t>
  </si>
  <si>
    <t>&gt; Temperature controlled and Refrigerated</t>
  </si>
  <si>
    <t>&gt; Flatbed</t>
  </si>
  <si>
    <t>&gt; Intermodal/Container shipping</t>
  </si>
  <si>
    <t>&gt; Specialized equipment</t>
  </si>
  <si>
    <t>&gt; carrier and customer Web tools</t>
  </si>
  <si>
    <t>Network of over 100,000 contract carrier</t>
  </si>
  <si>
    <t>serves all 50 states, mexico, and canada</t>
  </si>
  <si>
    <t>customer have access to ABF Freight Network</t>
  </si>
  <si>
    <t>&gt;commercial</t>
  </si>
  <si>
    <t>&gt;government</t>
  </si>
  <si>
    <t>Expedite (Panther)</t>
  </si>
  <si>
    <t>rapid deployment of highly specialized logistics services</t>
  </si>
  <si>
    <t>Customers</t>
  </si>
  <si>
    <t>Capacity solutions</t>
  </si>
  <si>
    <t>&gt;temperature control</t>
  </si>
  <si>
    <t>&gt;hazardous materials</t>
  </si>
  <si>
    <t>&gt;geofencing</t>
  </si>
  <si>
    <t>&gt;specialized government cargo</t>
  </si>
  <si>
    <t>&gt;security services</t>
  </si>
  <si>
    <t>&gt;life sciences</t>
  </si>
  <si>
    <t>rely on third party carrier for most of the network capacity</t>
  </si>
  <si>
    <t>&gt;owner operators</t>
  </si>
  <si>
    <t>&gt;groundhaul providers</t>
  </si>
  <si>
    <t>&gt;cartage agents</t>
  </si>
  <si>
    <t>&gt;others</t>
  </si>
  <si>
    <t>own a fleet of trailers (driven by the third party carriers stated above.</t>
  </si>
  <si>
    <t>Managed Trasportation</t>
  </si>
  <si>
    <t>offer strategic supply chain solutions to increase operation efficiencies, reduce cost, and provide supply chain insight</t>
  </si>
  <si>
    <t>access to ABF, MoLo, and Panther networks</t>
  </si>
  <si>
    <t>International</t>
  </si>
  <si>
    <t>nonvessel operationg common carrier</t>
  </si>
  <si>
    <t>&gt;less than container</t>
  </si>
  <si>
    <t>&gt;full container</t>
  </si>
  <si>
    <t>&gt;warehousing and distribution services from major ports</t>
  </si>
  <si>
    <t>provide global ocean and air shipping solutions by parterning with ocean shipping lines and air freight carriers globally</t>
  </si>
  <si>
    <t>Other services</t>
  </si>
  <si>
    <t>Final Mile</t>
  </si>
  <si>
    <t>Time critical</t>
  </si>
  <si>
    <t>product launch</t>
  </si>
  <si>
    <t>warehousing and distribution</t>
  </si>
  <si>
    <t>retail logistics</t>
  </si>
  <si>
    <t>supply chain optimization</t>
  </si>
  <si>
    <t>brokered LTL</t>
  </si>
  <si>
    <t>trade show shipping servies</t>
  </si>
  <si>
    <t>Retail+ compliance</t>
  </si>
  <si>
    <t>Competition</t>
  </si>
  <si>
    <t>LTL</t>
  </si>
  <si>
    <t>FedEx</t>
  </si>
  <si>
    <t>Knight-Swift</t>
  </si>
  <si>
    <t>Old Dominion Freight</t>
  </si>
  <si>
    <t>Saia</t>
  </si>
  <si>
    <t>US segment of TFI International</t>
  </si>
  <si>
    <t>North America segment of XPO</t>
  </si>
  <si>
    <t>Based componets</t>
  </si>
  <si>
    <t>price</t>
  </si>
  <si>
    <t>service</t>
  </si>
  <si>
    <t>availability of flexible shipping options</t>
  </si>
  <si>
    <t xml:space="preserve"> </t>
  </si>
  <si>
    <t>27,500 Active brokerage authorities</t>
  </si>
  <si>
    <t>asset based truckload carriers</t>
  </si>
  <si>
    <t>small and large expidite logistics carriers</t>
  </si>
  <si>
    <t>foreign and US based non vessel operating common carriers</t>
  </si>
  <si>
    <t>freight forwarders</t>
  </si>
  <si>
    <t>internal shipping department with large companies</t>
  </si>
  <si>
    <t>nich service providers</t>
  </si>
  <si>
    <t>warehourse and transportation management firms</t>
  </si>
  <si>
    <t>CH Robinson</t>
  </si>
  <si>
    <t>Covenant Logistics Group</t>
  </si>
  <si>
    <t>Hub group</t>
  </si>
  <si>
    <t xml:space="preserve">Integrated Capacity Solution segment of JB Hunt </t>
  </si>
  <si>
    <t>Landstar System</t>
  </si>
  <si>
    <t>Truckload and complementary service offerings of RXO</t>
  </si>
  <si>
    <t>Freight segment of UBER</t>
  </si>
  <si>
    <t>Truck Rental</t>
  </si>
  <si>
    <t>Self move</t>
  </si>
  <si>
    <t>Van line service providers</t>
  </si>
  <si>
    <t>Differentiators</t>
  </si>
  <si>
    <t>Quality of Service</t>
  </si>
  <si>
    <t>Technology capabilities</t>
  </si>
  <si>
    <t>Industry expertise</t>
  </si>
  <si>
    <t>Optimized shipping solutions</t>
  </si>
  <si>
    <t>reliable access to capacity</t>
  </si>
  <si>
    <t>real time visibility of shipments</t>
  </si>
  <si>
    <t>verification of chain of custody procedures</t>
  </si>
  <si>
    <t>security</t>
  </si>
  <si>
    <t>Pricing</t>
  </si>
  <si>
    <t>~ 20% of Asset Based business to subject ot base LTL tariffs</t>
  </si>
  <si>
    <t>^(general rate increases, subject to individually negociated discounts</t>
  </si>
  <si>
    <t>Majority rates are subject to individual pricing negotiations</t>
  </si>
  <si>
    <t>Most of negotiated pricing arrangements is associate with large accounts and annually negotiated arrangements</t>
  </si>
  <si>
    <t>remaining business is priced on an individual shipment basis considering…</t>
  </si>
  <si>
    <t>^unique profile</t>
  </si>
  <si>
    <t>^value arcbest provides</t>
  </si>
  <si>
    <t>^network capacity</t>
  </si>
  <si>
    <t>^current market conditions</t>
  </si>
  <si>
    <t>non negotiated published rates are avalible via phone and online</t>
  </si>
  <si>
    <t>Weight based</t>
  </si>
  <si>
    <t>Space based</t>
  </si>
  <si>
    <t>cubic minimum charges (CMC)</t>
  </si>
  <si>
    <t>fuel surcharge</t>
  </si>
  <si>
    <t>Seasonality</t>
  </si>
  <si>
    <t>Freight demand is higly seasonal</t>
  </si>
  <si>
    <t xml:space="preserve">Inclement weather </t>
  </si>
  <si>
    <t>Post holiday slowdown (winter months)</t>
  </si>
  <si>
    <t>Plant shutdowns of automotive and manufacturing (summer months)</t>
  </si>
  <si>
    <t>disruptive weather can cause increase short term demand for expedite services</t>
  </si>
  <si>
    <t>Q2 and Q3 historically have highest tonnage and shipment levels</t>
  </si>
  <si>
    <t>Q1 generally has lowest tonnage and shipment levels</t>
  </si>
  <si>
    <t>ARCB high yield initiatives and increased tech driven intelligence have allowed for shipment optimization in non peak times</t>
  </si>
  <si>
    <t>^ has reduced susceptibility to seasonal fluctuations in recent years (2022-2024)</t>
  </si>
  <si>
    <t>Revenue</t>
  </si>
  <si>
    <t>Operating Expenses</t>
  </si>
  <si>
    <t>Other Income (Loss)</t>
  </si>
  <si>
    <t>PreTax Income</t>
  </si>
  <si>
    <t>Net Income</t>
  </si>
  <si>
    <t>EPS</t>
  </si>
  <si>
    <t>Shares</t>
  </si>
  <si>
    <t>Cash and equivalents</t>
  </si>
  <si>
    <t>Total Debt</t>
  </si>
  <si>
    <t>Land and structures</t>
  </si>
  <si>
    <t>Revenue equipment</t>
  </si>
  <si>
    <t>Service office and other equipment</t>
  </si>
  <si>
    <t>software</t>
  </si>
  <si>
    <t>Leasehold improvements</t>
  </si>
  <si>
    <t>PP&amp;E</t>
  </si>
  <si>
    <t>Goodwill</t>
  </si>
  <si>
    <t>intangible assets</t>
  </si>
  <si>
    <t xml:space="preserve">Right of Use </t>
  </si>
  <si>
    <t>AP</t>
  </si>
  <si>
    <t>Taxes payable</t>
  </si>
  <si>
    <t>Accrued Expenses</t>
  </si>
  <si>
    <t>Lease</t>
  </si>
  <si>
    <t>Deferred Tax</t>
  </si>
  <si>
    <t>Other Long term</t>
  </si>
  <si>
    <t>SE</t>
  </si>
  <si>
    <t>Total Liability</t>
  </si>
  <si>
    <t>SE+L</t>
  </si>
  <si>
    <t>Depreciation and Amortization</t>
  </si>
  <si>
    <t>Amortization intagibles</t>
  </si>
  <si>
    <t>SBC</t>
  </si>
  <si>
    <t>AR provision for losses</t>
  </si>
  <si>
    <t>change in income tax</t>
  </si>
  <si>
    <t>fair value contigent consideration</t>
  </si>
  <si>
    <t>fair value equity investment</t>
  </si>
  <si>
    <t>receivables</t>
  </si>
  <si>
    <t>prepaid expenses</t>
  </si>
  <si>
    <t xml:space="preserve">other </t>
  </si>
  <si>
    <t>income taxes</t>
  </si>
  <si>
    <t>operating right of use and lease</t>
  </si>
  <si>
    <t>ap accured expenses and other liabilities</t>
  </si>
  <si>
    <t>CFFO</t>
  </si>
  <si>
    <t>PPE proceeds</t>
  </si>
  <si>
    <t>investments proceeds</t>
  </si>
  <si>
    <t>internal software capitalization</t>
  </si>
  <si>
    <t>CFFI</t>
  </si>
  <si>
    <t>Borrowing under credit</t>
  </si>
  <si>
    <t>payments on long term debt</t>
  </si>
  <si>
    <t>net change in book overdrafts</t>
  </si>
  <si>
    <t>Deferred financing costs</t>
  </si>
  <si>
    <t>Payment of common stock dividends</t>
  </si>
  <si>
    <t>Purchases of treasury stock</t>
  </si>
  <si>
    <t>withheld tax payment on SBC</t>
  </si>
  <si>
    <t>CFFF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</si>
  <si>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</si>
  <si>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</si>
  <si>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</si>
  <si>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</si>
  <si>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</si>
  <si>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</si>
  <si>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</si>
  <si>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</si>
  <si>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</si>
  <si>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</si>
  <si>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Net Cash</t>
  </si>
  <si>
    <t>D&amp;A</t>
  </si>
  <si>
    <t>Transactions</t>
  </si>
  <si>
    <t>sold FleetNet America for $100.9M on Feb 28 2023</t>
  </si>
  <si>
    <t>Revenue y/y</t>
  </si>
  <si>
    <t xml:space="preserve">Operating Income </t>
  </si>
  <si>
    <t>$25m contribution for series b commitment to Phantom Auto in early 2021 (out of buisness in early 2024)</t>
  </si>
  <si>
    <t>Performance Metrics</t>
  </si>
  <si>
    <t>Tonnage per day (average daily shipment weight)</t>
  </si>
  <si>
    <t>total wight of shipments processed during the period in tons divdied by the number of workdays in the period</t>
  </si>
  <si>
    <t>Shipments per day</t>
  </si>
  <si>
    <t>total number of shipments moving through the asset based network during the period divided by the number of workdays in the period</t>
  </si>
  <si>
    <t>Weight per shipment</t>
  </si>
  <si>
    <t>total weight of shipments processed during the period in pounds divided by the number of shipments during the period</t>
  </si>
  <si>
    <t>Average length of haul (miles)</t>
  </si>
  <si>
    <t>total miles between origin and destination service centers for all shipments (including shipments moved with perchased transportation) during the period</t>
  </si>
  <si>
    <t>Performance Factors</t>
  </si>
  <si>
    <t>Tonnage</t>
  </si>
  <si>
    <t>Fuel</t>
  </si>
  <si>
    <t>Labor Costs</t>
  </si>
  <si>
    <t>Revenue per shipment</t>
  </si>
  <si>
    <t>total segment reveue divided by total segment shipments during the period, compared to the same prior year period</t>
  </si>
  <si>
    <t>Purchased transportation costs as a percentage of revenue</t>
  </si>
  <si>
    <t>the expense incurred for third party transportation providers to haul or deliver freight during the period, divided by segment revenues for the period, expressed as a percentage</t>
  </si>
  <si>
    <t>Loss (Gain) on sale on property &amp; equipment</t>
  </si>
  <si>
    <t>PPE Purchases</t>
  </si>
  <si>
    <t>investments Purchases</t>
  </si>
  <si>
    <t>Q122</t>
  </si>
  <si>
    <t>Q222</t>
  </si>
  <si>
    <t>Q322</t>
  </si>
  <si>
    <t>Q422</t>
  </si>
  <si>
    <t>NPV</t>
  </si>
  <si>
    <t>Share</t>
  </si>
  <si>
    <t>Maturity</t>
  </si>
  <si>
    <t>Discount</t>
  </si>
  <si>
    <t>Operating margin</t>
  </si>
  <si>
    <t xml:space="preserve">Tax </t>
  </si>
  <si>
    <t>Other long term assets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</si>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</sst>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_);[Red]\(#,##0.000\)"/>
    <numFmt numFmtId="165" formatCode="0.000%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4" fontId="0" fillId="0" borderId="0" xfId="0" applyNumberFormat="1"/>
    <xf numFmtId="0" fontId="3" fillId="0" borderId="0" xfId="0" applyFont="1"/>
    <xf numFmtId="0" fontId="2" fillId="0" borderId="0" xfId="0" applyFont="1"/>
    <xf numFmtId="0" fontId="1" fillId="0" borderId="0" xfId="0" applyFont="1"/>
    <xf numFmtId="4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331303</xdr:colOff>
      <xdr:row>19</xdr:row>
      <xdr:rowOff>66261</xdr:rowOff>
    </xdr:from>
    <xdr:to>
      <xdr:col>15</xdr:col>
      <xdr:colOff>488673</xdr:colOff>
      <xdr:row>22</xdr:row>
      <xdr:rowOff>8282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1A1C50B1-C567-498A-46C9-3EF13DD60962}"/>
            </a:ext>
          </a:extLst>
        </xdr:cNvPr>
        <xdr:cNvSpPr/>
      </xdr:nvSpPr>
      <xdr:spPr>
        <a:xfrm>
          <a:off x="5971760" y="5209761"/>
          <a:ext cx="157370" cy="513521"/>
        </a:xfrm>
        <a:prstGeom prst="righ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2484</xdr:colOff>
      <xdr:row>0</xdr:row>
      <xdr:rowOff>65433</xdr:rowOff>
    </xdr:from>
    <xdr:to>
      <xdr:col>26</xdr:col>
      <xdr:colOff>12009</xdr:colOff>
      <xdr:row>78</xdr:row>
      <xdr:rowOff>160683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8697372-A865-0CBB-1BC7-9661351890CA}"/>
            </a:ext>
          </a:extLst>
        </xdr:cNvPr>
        <xdr:cNvCxnSpPr/>
      </xdr:nvCxnSpPr>
      <xdr:spPr>
        <a:xfrm>
          <a:off x="18654919" y="65433"/>
          <a:ext cx="9525" cy="15103337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2EC4-C91A-4281-AD6B-3FB2935FCFE6}">
  <dimension ref="B1:Q109"/>
  <sheetViews>
    <sheetView zoomScale="115" zoomScaleNormal="115" workbookViewId="0">
      <selection activeCell="L107" sqref="L107"/>
    </sheetView>
  </sheetViews>
  <sheetFormatPr defaultRowHeight="15" x14ac:dyDescent="0.25"/>
  <cols>
    <col min="1" max="1" width="2.7109375" customWidth="1"/>
    <col min="3" max="3" width="10" bestFit="1" customWidth="1"/>
    <col min="5" max="5" width="10.140625" bestFit="1" customWidth="1"/>
    <col min="11" max="11" width="10.140625" bestFit="1" customWidth="1"/>
    <col min="13" max="13" width="12.7109375" customWidth="1"/>
    <col min="30" max="30" width="10.140625" bestFit="1" customWidth="1"/>
  </cols>
  <sheetData>
    <row r="1" spans="2:14" x14ac:dyDescent="0.25">
      <c r="N1" s="3" t="s">
        <v>11</v>
      </c>
    </row>
    <row r="2" spans="2:14" x14ac:dyDescent="0.25">
      <c r="B2" s="3" t="s">
        <v>6</v>
      </c>
      <c r="H2" s="2" t="s">
        <v>0</v>
      </c>
      <c r="I2" s="2">
        <v>69.819999999999993</v>
      </c>
      <c r="J2" s="2"/>
      <c r="K2" s="1">
        <v>45915</v>
      </c>
      <c r="N2" s="3" t="s">
        <v>7</v>
      </c>
    </row>
    <row r="3" spans="2:14" x14ac:dyDescent="0.25">
      <c r="B3" s="3"/>
      <c r="H3" s="2" t="s">
        <v>1</v>
      </c>
      <c r="I3" s="2">
        <v>22.726877999999999</v>
      </c>
      <c r="J3" s="2"/>
      <c r="N3" s="3"/>
    </row>
    <row r="4" spans="2:14" x14ac:dyDescent="0.25">
      <c r="B4" s="4" t="s">
        <v>11</v>
      </c>
      <c r="H4" s="2" t="s">
        <v>2</v>
      </c>
      <c r="I4" s="2">
        <f>+I2*I3</f>
        <v>1586.7906219599997</v>
      </c>
      <c r="J4" s="2"/>
      <c r="N4" t="s">
        <v>12</v>
      </c>
    </row>
    <row r="5" spans="2:14" x14ac:dyDescent="0.25">
      <c r="B5" t="s">
        <v>7</v>
      </c>
      <c r="H5" s="2" t="s">
        <v>3</v>
      </c>
      <c r="I5" s="2">
        <f>114.874+24.801</f>
        <v>139.67499999999998</v>
      </c>
      <c r="J5" s="2"/>
      <c r="N5" t="s">
        <v>13</v>
      </c>
    </row>
    <row r="6" spans="2:14" x14ac:dyDescent="0.25">
      <c r="H6" s="2" t="s">
        <v>4</v>
      </c>
      <c r="I6" s="2">
        <f>163.85+77.549</f>
        <v>241.399</v>
      </c>
      <c r="J6" s="2"/>
      <c r="N6" t="s">
        <v>14</v>
      </c>
    </row>
    <row r="7" spans="2:14" x14ac:dyDescent="0.25">
      <c r="B7" s="4" t="s">
        <v>30</v>
      </c>
      <c r="H7" s="2" t="s">
        <v>5</v>
      </c>
      <c r="I7" s="2">
        <f>+I4-I5+I6</f>
        <v>1688.5146219599997</v>
      </c>
      <c r="J7" s="2"/>
      <c r="N7" t="s">
        <v>15</v>
      </c>
    </row>
    <row r="8" spans="2:14" x14ac:dyDescent="0.25">
      <c r="B8" t="s">
        <v>8</v>
      </c>
      <c r="N8" t="s">
        <v>17</v>
      </c>
    </row>
    <row r="9" spans="2:14" x14ac:dyDescent="0.25">
      <c r="B9" t="s">
        <v>9</v>
      </c>
      <c r="N9" t="s">
        <v>16</v>
      </c>
    </row>
    <row r="10" spans="2:14" x14ac:dyDescent="0.25">
      <c r="B10" t="s">
        <v>10</v>
      </c>
      <c r="N10" s="5" t="s">
        <v>18</v>
      </c>
    </row>
    <row r="12" spans="2:14" x14ac:dyDescent="0.25">
      <c r="N12" s="4" t="s">
        <v>25</v>
      </c>
    </row>
    <row r="13" spans="2:14" x14ac:dyDescent="0.25">
      <c r="B13" s="3" t="s">
        <v>83</v>
      </c>
      <c r="N13" t="s">
        <v>26</v>
      </c>
    </row>
    <row r="14" spans="2:14" x14ac:dyDescent="0.25">
      <c r="B14" s="4" t="s">
        <v>91</v>
      </c>
      <c r="N14" t="s">
        <v>28</v>
      </c>
    </row>
    <row r="15" spans="2:14" x14ac:dyDescent="0.25">
      <c r="B15" t="s">
        <v>92</v>
      </c>
      <c r="N15" t="s">
        <v>27</v>
      </c>
    </row>
    <row r="16" spans="2:14" x14ac:dyDescent="0.25">
      <c r="B16" t="s">
        <v>93</v>
      </c>
      <c r="N16" t="s">
        <v>29</v>
      </c>
    </row>
    <row r="17" spans="2:17" x14ac:dyDescent="0.25">
      <c r="B17" t="s">
        <v>94</v>
      </c>
    </row>
    <row r="18" spans="2:17" x14ac:dyDescent="0.25">
      <c r="N18" s="4" t="s">
        <v>23</v>
      </c>
    </row>
    <row r="19" spans="2:17" x14ac:dyDescent="0.25">
      <c r="B19" s="4" t="s">
        <v>84</v>
      </c>
      <c r="N19" t="s">
        <v>19</v>
      </c>
    </row>
    <row r="20" spans="2:17" x14ac:dyDescent="0.25">
      <c r="B20" s="5" t="s">
        <v>85</v>
      </c>
      <c r="N20" t="s">
        <v>20</v>
      </c>
    </row>
    <row r="21" spans="2:17" x14ac:dyDescent="0.25">
      <c r="B21" s="5" t="s">
        <v>86</v>
      </c>
      <c r="N21" t="s">
        <v>21</v>
      </c>
      <c r="Q21" t="s">
        <v>24</v>
      </c>
    </row>
    <row r="22" spans="2:17" x14ac:dyDescent="0.25">
      <c r="B22" s="5" t="s">
        <v>87</v>
      </c>
      <c r="N22" t="s">
        <v>22</v>
      </c>
    </row>
    <row r="23" spans="2:17" x14ac:dyDescent="0.25">
      <c r="B23" s="5" t="s">
        <v>88</v>
      </c>
    </row>
    <row r="24" spans="2:17" x14ac:dyDescent="0.25">
      <c r="B24" s="5" t="s">
        <v>89</v>
      </c>
    </row>
    <row r="25" spans="2:17" x14ac:dyDescent="0.25">
      <c r="B25" s="5" t="s">
        <v>90</v>
      </c>
      <c r="N25" s="3" t="s">
        <v>30</v>
      </c>
    </row>
    <row r="26" spans="2:17" x14ac:dyDescent="0.25">
      <c r="B26" t="s">
        <v>95</v>
      </c>
      <c r="N26" t="s">
        <v>31</v>
      </c>
    </row>
    <row r="27" spans="2:17" x14ac:dyDescent="0.25">
      <c r="B27" s="4" t="s">
        <v>30</v>
      </c>
      <c r="N27" t="s">
        <v>32</v>
      </c>
    </row>
    <row r="28" spans="2:17" x14ac:dyDescent="0.25">
      <c r="B28" t="s">
        <v>96</v>
      </c>
      <c r="N28" t="s">
        <v>33</v>
      </c>
    </row>
    <row r="29" spans="2:17" x14ac:dyDescent="0.25">
      <c r="B29" t="s">
        <v>97</v>
      </c>
      <c r="N29" t="s">
        <v>34</v>
      </c>
    </row>
    <row r="30" spans="2:17" x14ac:dyDescent="0.25">
      <c r="B30" t="s">
        <v>98</v>
      </c>
    </row>
    <row r="31" spans="2:17" x14ac:dyDescent="0.25">
      <c r="B31" t="s">
        <v>99</v>
      </c>
      <c r="N31" s="4" t="s">
        <v>35</v>
      </c>
    </row>
    <row r="32" spans="2:17" x14ac:dyDescent="0.25">
      <c r="B32" t="s">
        <v>100</v>
      </c>
      <c r="N32" t="s">
        <v>36</v>
      </c>
    </row>
    <row r="33" spans="2:14" x14ac:dyDescent="0.25">
      <c r="B33" t="s">
        <v>101</v>
      </c>
      <c r="N33" t="s">
        <v>37</v>
      </c>
    </row>
    <row r="34" spans="2:14" x14ac:dyDescent="0.25">
      <c r="B34" t="s">
        <v>102</v>
      </c>
      <c r="N34" t="s">
        <v>38</v>
      </c>
    </row>
    <row r="35" spans="2:14" x14ac:dyDescent="0.25">
      <c r="B35" t="s">
        <v>103</v>
      </c>
      <c r="N35" t="s">
        <v>39</v>
      </c>
    </row>
    <row r="36" spans="2:14" x14ac:dyDescent="0.25">
      <c r="B36" s="5" t="s">
        <v>104</v>
      </c>
      <c r="N36" t="s">
        <v>40</v>
      </c>
    </row>
    <row r="37" spans="2:14" x14ac:dyDescent="0.25">
      <c r="B37" s="5" t="s">
        <v>105</v>
      </c>
      <c r="N37" t="s">
        <v>41</v>
      </c>
    </row>
    <row r="38" spans="2:14" x14ac:dyDescent="0.25">
      <c r="B38" s="5" t="s">
        <v>106</v>
      </c>
      <c r="N38" t="s">
        <v>42</v>
      </c>
    </row>
    <row r="39" spans="2:14" x14ac:dyDescent="0.25">
      <c r="B39" s="5" t="s">
        <v>107</v>
      </c>
      <c r="N39" t="s">
        <v>43</v>
      </c>
    </row>
    <row r="40" spans="2:14" x14ac:dyDescent="0.25">
      <c r="B40" s="5" t="s">
        <v>108</v>
      </c>
      <c r="N40" t="s">
        <v>44</v>
      </c>
    </row>
    <row r="41" spans="2:14" x14ac:dyDescent="0.25">
      <c r="B41" s="5" t="s">
        <v>109</v>
      </c>
      <c r="N41" t="s">
        <v>45</v>
      </c>
    </row>
    <row r="42" spans="2:14" x14ac:dyDescent="0.25">
      <c r="B42" s="5" t="s">
        <v>110</v>
      </c>
    </row>
    <row r="43" spans="2:14" x14ac:dyDescent="0.25">
      <c r="B43" t="s">
        <v>111</v>
      </c>
      <c r="N43" s="4" t="s">
        <v>48</v>
      </c>
    </row>
    <row r="44" spans="2:14" x14ac:dyDescent="0.25">
      <c r="B44" t="s">
        <v>112</v>
      </c>
      <c r="N44" s="5" t="s">
        <v>49</v>
      </c>
    </row>
    <row r="45" spans="2:14" x14ac:dyDescent="0.25">
      <c r="B45" t="s">
        <v>113</v>
      </c>
      <c r="N45" t="s">
        <v>50</v>
      </c>
    </row>
    <row r="46" spans="2:14" x14ac:dyDescent="0.25">
      <c r="N46" t="s">
        <v>46</v>
      </c>
    </row>
    <row r="47" spans="2:14" x14ac:dyDescent="0.25">
      <c r="B47" s="4" t="s">
        <v>114</v>
      </c>
      <c r="N47" t="s">
        <v>47</v>
      </c>
    </row>
    <row r="48" spans="2:14" x14ac:dyDescent="0.25">
      <c r="B48" t="s">
        <v>115</v>
      </c>
      <c r="N48" t="s">
        <v>51</v>
      </c>
    </row>
    <row r="49" spans="2:14" x14ac:dyDescent="0.25">
      <c r="B49" t="s">
        <v>116</v>
      </c>
      <c r="N49" t="s">
        <v>52</v>
      </c>
    </row>
    <row r="50" spans="2:14" x14ac:dyDescent="0.25">
      <c r="B50" t="s">
        <v>117</v>
      </c>
      <c r="N50" t="s">
        <v>53</v>
      </c>
    </row>
    <row r="51" spans="2:14" x14ac:dyDescent="0.25">
      <c r="B51" t="s">
        <v>118</v>
      </c>
      <c r="N51" t="s">
        <v>54</v>
      </c>
    </row>
    <row r="52" spans="2:14" x14ac:dyDescent="0.25">
      <c r="B52" t="s">
        <v>119</v>
      </c>
      <c r="N52" t="s">
        <v>55</v>
      </c>
    </row>
    <row r="53" spans="2:14" x14ac:dyDescent="0.25">
      <c r="B53" t="s">
        <v>120</v>
      </c>
      <c r="N53" t="s">
        <v>56</v>
      </c>
    </row>
    <row r="54" spans="2:14" x14ac:dyDescent="0.25">
      <c r="B54" t="s">
        <v>121</v>
      </c>
      <c r="N54" t="s">
        <v>57</v>
      </c>
    </row>
    <row r="55" spans="2:14" x14ac:dyDescent="0.25">
      <c r="B55" t="s">
        <v>122</v>
      </c>
      <c r="N55" t="s">
        <v>58</v>
      </c>
    </row>
    <row r="56" spans="2:14" x14ac:dyDescent="0.25">
      <c r="N56" t="s">
        <v>59</v>
      </c>
    </row>
    <row r="57" spans="2:14" x14ac:dyDescent="0.25">
      <c r="N57" t="s">
        <v>60</v>
      </c>
    </row>
    <row r="58" spans="2:14" x14ac:dyDescent="0.25">
      <c r="B58" s="3" t="s">
        <v>123</v>
      </c>
      <c r="N58" t="s">
        <v>61</v>
      </c>
    </row>
    <row r="59" spans="2:14" x14ac:dyDescent="0.25">
      <c r="B59" t="s">
        <v>124</v>
      </c>
      <c r="N59" t="s">
        <v>62</v>
      </c>
    </row>
    <row r="60" spans="2:14" x14ac:dyDescent="0.25">
      <c r="B60" t="s">
        <v>125</v>
      </c>
      <c r="N60" t="s">
        <v>63</v>
      </c>
    </row>
    <row r="61" spans="2:14" x14ac:dyDescent="0.25">
      <c r="B61" t="s">
        <v>126</v>
      </c>
    </row>
    <row r="62" spans="2:14" x14ac:dyDescent="0.25">
      <c r="B62" t="s">
        <v>127</v>
      </c>
      <c r="N62" s="4" t="s">
        <v>64</v>
      </c>
    </row>
    <row r="63" spans="2:14" x14ac:dyDescent="0.25">
      <c r="B63" t="s">
        <v>128</v>
      </c>
      <c r="N63" s="5" t="s">
        <v>65</v>
      </c>
    </row>
    <row r="64" spans="2:14" x14ac:dyDescent="0.25">
      <c r="B64" t="s">
        <v>129</v>
      </c>
      <c r="N64" t="s">
        <v>66</v>
      </c>
    </row>
    <row r="65" spans="2:14" x14ac:dyDescent="0.25">
      <c r="B65" t="s">
        <v>130</v>
      </c>
    </row>
    <row r="66" spans="2:14" x14ac:dyDescent="0.25">
      <c r="B66" t="s">
        <v>131</v>
      </c>
      <c r="N66" s="4" t="s">
        <v>67</v>
      </c>
    </row>
    <row r="67" spans="2:14" x14ac:dyDescent="0.25">
      <c r="B67" t="s">
        <v>132</v>
      </c>
      <c r="N67" t="s">
        <v>68</v>
      </c>
    </row>
    <row r="68" spans="2:14" x14ac:dyDescent="0.25">
      <c r="B68" t="s">
        <v>133</v>
      </c>
      <c r="N68" t="s">
        <v>51</v>
      </c>
    </row>
    <row r="69" spans="2:14" x14ac:dyDescent="0.25">
      <c r="B69" t="s">
        <v>134</v>
      </c>
      <c r="N69" t="s">
        <v>69</v>
      </c>
    </row>
    <row r="70" spans="2:14" x14ac:dyDescent="0.25">
      <c r="B70" t="s">
        <v>135</v>
      </c>
      <c r="N70" t="s">
        <v>70</v>
      </c>
    </row>
    <row r="71" spans="2:14" x14ac:dyDescent="0.25">
      <c r="B71" t="s">
        <v>136</v>
      </c>
      <c r="N71" t="s">
        <v>71</v>
      </c>
    </row>
    <row r="72" spans="2:14" x14ac:dyDescent="0.25">
      <c r="B72" t="s">
        <v>137</v>
      </c>
      <c r="N72" s="5" t="s">
        <v>72</v>
      </c>
    </row>
    <row r="74" spans="2:14" x14ac:dyDescent="0.25">
      <c r="N74" s="4" t="s">
        <v>73</v>
      </c>
    </row>
    <row r="75" spans="2:14" x14ac:dyDescent="0.25">
      <c r="B75" s="3" t="s">
        <v>138</v>
      </c>
      <c r="N75" t="s">
        <v>74</v>
      </c>
    </row>
    <row r="76" spans="2:14" x14ac:dyDescent="0.25">
      <c r="B76" t="s">
        <v>139</v>
      </c>
      <c r="N76" t="s">
        <v>75</v>
      </c>
    </row>
    <row r="77" spans="2:14" x14ac:dyDescent="0.25">
      <c r="B77" t="s">
        <v>140</v>
      </c>
      <c r="N77" t="s">
        <v>76</v>
      </c>
    </row>
    <row r="78" spans="2:14" x14ac:dyDescent="0.25">
      <c r="B78" t="s">
        <v>141</v>
      </c>
      <c r="N78" t="s">
        <v>77</v>
      </c>
    </row>
    <row r="79" spans="2:14" x14ac:dyDescent="0.25">
      <c r="B79" t="s">
        <v>142</v>
      </c>
      <c r="N79" t="s">
        <v>78</v>
      </c>
    </row>
    <row r="80" spans="2:14" x14ac:dyDescent="0.25">
      <c r="B80" t="s">
        <v>143</v>
      </c>
      <c r="N80" t="s">
        <v>79</v>
      </c>
    </row>
    <row r="81" spans="2:14" x14ac:dyDescent="0.25">
      <c r="B81" t="s">
        <v>144</v>
      </c>
      <c r="N81" t="s">
        <v>80</v>
      </c>
    </row>
    <row r="82" spans="2:14" x14ac:dyDescent="0.25">
      <c r="B82" t="s">
        <v>145</v>
      </c>
      <c r="N82" t="s">
        <v>81</v>
      </c>
    </row>
    <row r="83" spans="2:14" x14ac:dyDescent="0.25">
      <c r="B83" t="s">
        <v>146</v>
      </c>
      <c r="N83" t="s">
        <v>82</v>
      </c>
    </row>
    <row r="84" spans="2:14" x14ac:dyDescent="0.25">
      <c r="B84" t="s">
        <v>147</v>
      </c>
    </row>
    <row r="86" spans="2:14" x14ac:dyDescent="0.25">
      <c r="B86" s="3" t="s">
        <v>213</v>
      </c>
      <c r="N86" s="3" t="s">
        <v>218</v>
      </c>
    </row>
    <row r="87" spans="2:14" x14ac:dyDescent="0.25">
      <c r="B87" t="s">
        <v>214</v>
      </c>
      <c r="N87" s="4" t="s">
        <v>219</v>
      </c>
    </row>
    <row r="88" spans="2:14" x14ac:dyDescent="0.25">
      <c r="B88" t="s">
        <v>217</v>
      </c>
      <c r="N88" t="s">
        <v>220</v>
      </c>
    </row>
    <row r="90" spans="2:14" x14ac:dyDescent="0.25">
      <c r="N90" s="4" t="s">
        <v>221</v>
      </c>
    </row>
    <row r="91" spans="2:14" x14ac:dyDescent="0.25">
      <c r="N91" t="s">
        <v>222</v>
      </c>
    </row>
    <row r="93" spans="2:14" x14ac:dyDescent="0.25">
      <c r="N93" s="4" t="s">
        <v>223</v>
      </c>
    </row>
    <row r="94" spans="2:14" x14ac:dyDescent="0.25">
      <c r="N94" t="s">
        <v>224</v>
      </c>
    </row>
    <row r="96" spans="2:14" x14ac:dyDescent="0.25">
      <c r="N96" s="4" t="s">
        <v>225</v>
      </c>
    </row>
    <row r="97" spans="14:14" x14ac:dyDescent="0.25">
      <c r="N97" t="s">
        <v>226</v>
      </c>
    </row>
    <row r="99" spans="14:14" x14ac:dyDescent="0.25">
      <c r="N99" s="4" t="s">
        <v>231</v>
      </c>
    </row>
    <row r="100" spans="14:14" x14ac:dyDescent="0.25">
      <c r="N100" t="s">
        <v>232</v>
      </c>
    </row>
    <row r="102" spans="14:14" x14ac:dyDescent="0.25">
      <c r="N102" s="4" t="s">
        <v>233</v>
      </c>
    </row>
    <row r="103" spans="14:14" x14ac:dyDescent="0.25">
      <c r="N103" t="s">
        <v>234</v>
      </c>
    </row>
    <row r="105" spans="14:14" x14ac:dyDescent="0.25">
      <c r="N105" s="3" t="s">
        <v>227</v>
      </c>
    </row>
    <row r="106" spans="14:14" x14ac:dyDescent="0.25">
      <c r="N106" t="s">
        <v>228</v>
      </c>
    </row>
    <row r="107" spans="14:14" x14ac:dyDescent="0.25">
      <c r="N107" t="s">
        <v>123</v>
      </c>
    </row>
    <row r="108" spans="14:14" x14ac:dyDescent="0.25">
      <c r="N108" t="s">
        <v>229</v>
      </c>
    </row>
    <row r="109" spans="14:14" x14ac:dyDescent="0.25">
      <c r="N109" t="s">
        <v>230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573E6-E891-4158-A821-F237648B682F}">
  <dimension ref="A1:AM79"/>
  <sheetViews>
    <sheetView tabSelected="1" zoomScale="115" zoomScaleNormal="115" workbookViewId="0">
      <pane xSplit="2" topLeftCell="V1" activePane="topRight" state="frozen"/>
      <selection pane="topRight" activeCell="AE22" sqref="AE22"/>
    </sheetView>
  </sheetViews>
  <sheetFormatPr defaultRowHeight="15" x14ac:dyDescent="0.25"/>
  <cols>
    <col min="1" max="1" width="5.28515625" customWidth="1"/>
    <col min="2" max="2" width="38" bestFit="1" customWidth="1"/>
    <col min="3" max="7" width="11.85546875" style="7" customWidth="1"/>
    <col min="8" max="10" width="9.140625" style="7"/>
    <col min="11" max="14" width="10.5703125" style="7" bestFit="1" customWidth="1"/>
    <col min="15" max="15" width="12.140625" style="7" bestFit="1" customWidth="1"/>
    <col min="16" max="16" width="11.7109375" style="7" bestFit="1" customWidth="1"/>
    <col min="17" max="18" width="11.7109375" style="7" customWidth="1"/>
    <col min="19" max="20" width="9.140625" style="7"/>
    <col min="21" max="22" width="10.5703125" style="7" bestFit="1" customWidth="1"/>
    <col min="23" max="25" width="11.7109375" style="7" bestFit="1" customWidth="1"/>
    <col min="26" max="27" width="10.5703125" style="7" bestFit="1" customWidth="1"/>
    <col min="28" max="29" width="12.85546875" style="7" bestFit="1" customWidth="1"/>
    <col min="30" max="34" width="10.5703125" style="7" bestFit="1" customWidth="1"/>
    <col min="35" max="36" width="10.85546875" style="7" bestFit="1" customWidth="1"/>
    <col min="37" max="38" width="9.140625" style="7"/>
    <col min="39" max="39" width="10.5703125" style="7" bestFit="1" customWidth="1"/>
    <col min="40" max="16384" width="9.140625" style="7"/>
  </cols>
  <sheetData>
    <row r="1" spans="1:39" customFormat="1" ht="21" customHeight="1" x14ac:dyDescent="0.25">
      <c r="C1" s="7" t="s">
        <v>238</v>
      </c>
      <c r="D1" t="s">
        <v>239</v>
      </c>
      <c r="E1" t="s">
        <v>240</v>
      </c>
      <c r="F1" t="s">
        <v>241</v>
      </c>
      <c r="G1" t="s">
        <v>201</v>
      </c>
      <c r="H1" t="s">
        <v>202</v>
      </c>
      <c r="I1" t="s">
        <v>203</v>
      </c>
      <c r="J1" t="s">
        <v>204</v>
      </c>
      <c r="K1" t="s">
        <v>205</v>
      </c>
      <c r="L1" t="s">
        <v>206</v>
      </c>
      <c r="M1" t="s">
        <v>207</v>
      </c>
      <c r="N1" t="s">
        <v>208</v>
      </c>
      <c r="O1" t="s">
        <v>209</v>
      </c>
      <c r="P1" t="s">
        <v>210</v>
      </c>
      <c r="Q1" t="s">
        <v>249</v>
      </c>
      <c r="R1" t="s">
        <v>250</v>
      </c>
      <c r="U1">
        <v>2020</v>
      </c>
      <c r="V1">
        <v>2021</v>
      </c>
      <c r="W1">
        <v>2022</v>
      </c>
      <c r="X1">
        <v>2023</v>
      </c>
      <c r="Y1">
        <v>2024</v>
      </c>
      <c r="Z1">
        <v>2025</v>
      </c>
      <c r="AA1">
        <v>2026</v>
      </c>
      <c r="AB1">
        <v>2027</v>
      </c>
      <c r="AC1">
        <v>2028</v>
      </c>
      <c r="AD1">
        <v>2029</v>
      </c>
      <c r="AE1">
        <v>2030</v>
      </c>
      <c r="AF1">
        <v>2031</v>
      </c>
      <c r="AG1">
        <v>2032</v>
      </c>
      <c r="AH1">
        <v>2033</v>
      </c>
      <c r="AI1">
        <v>2034</v>
      </c>
      <c r="AJ1">
        <v>2035</v>
      </c>
    </row>
    <row r="2" spans="1:39" customFormat="1" ht="21" customHeight="1" x14ac:dyDescent="0.25"/>
    <row r="3" spans="1:39" s="6" customFormat="1" x14ac:dyDescent="0.25">
      <c r="A3"/>
      <c r="B3"/>
    </row>
    <row r="4" spans="1:39" s="6" customFormat="1" x14ac:dyDescent="0.25">
      <c r="A4"/>
      <c r="B4"/>
    </row>
    <row r="6" spans="1:39" x14ac:dyDescent="0.25">
      <c r="B6" t="s">
        <v>148</v>
      </c>
      <c r="K6" s="7">
        <v>1036.4190000000001</v>
      </c>
      <c r="L6" s="7">
        <v>1077.83</v>
      </c>
      <c r="M6" s="7">
        <v>1063.124</v>
      </c>
      <c r="O6" s="7">
        <v>967.077</v>
      </c>
      <c r="P6" s="7">
        <v>1022.256</v>
      </c>
      <c r="Q6" s="7">
        <v>1048.1369999999999</v>
      </c>
      <c r="U6" s="7">
        <v>2940.163</v>
      </c>
      <c r="V6" s="7">
        <v>3980.067</v>
      </c>
      <c r="W6" s="7">
        <v>5029.0079999999998</v>
      </c>
      <c r="X6" s="7">
        <v>4427.4430000000002</v>
      </c>
      <c r="Y6" s="7">
        <v>4179.0190000000002</v>
      </c>
      <c r="Z6" s="7">
        <v>4010.1579999999999</v>
      </c>
      <c r="AA6" s="7">
        <f>+Z6*1.11</f>
        <v>4451.27538</v>
      </c>
      <c r="AB6" s="7">
        <f>+AA6*1.02</f>
        <v>4540.3008876000004</v>
      </c>
      <c r="AC6" s="7">
        <f t="shared" ref="AC6" si="0">+AB6*1.11</f>
        <v>5039.733985236001</v>
      </c>
      <c r="AD6" s="7">
        <f>+AC6*1.3</f>
        <v>6551.6541808068014</v>
      </c>
      <c r="AE6" s="7">
        <f>+AD6*0.95</f>
        <v>6224.0714717664614</v>
      </c>
      <c r="AF6" s="7">
        <f>+AE6*0.95</f>
        <v>5912.8678981781377</v>
      </c>
      <c r="AG6" s="7">
        <f>+AF6*1.2</f>
        <v>7095.4414778137652</v>
      </c>
      <c r="AH6" s="7">
        <f>+AG6*0.95</f>
        <v>6740.669403923077</v>
      </c>
      <c r="AI6" s="7">
        <f>+AH6*0.95</f>
        <v>6403.6359337269232</v>
      </c>
      <c r="AJ6" s="7">
        <f>+AI6*0.95</f>
        <v>6083.4541370405768</v>
      </c>
      <c r="AL6" s="7" t="s">
        <v>244</v>
      </c>
    </row>
    <row r="7" spans="1:39" x14ac:dyDescent="0.25">
      <c r="B7" t="s">
        <v>149</v>
      </c>
      <c r="K7" s="7">
        <v>1013.984</v>
      </c>
      <c r="L7" s="7">
        <v>1028.9860000000001</v>
      </c>
      <c r="M7" s="7">
        <v>928.13099999999997</v>
      </c>
      <c r="O7" s="7">
        <v>960.447</v>
      </c>
      <c r="P7" s="7">
        <v>984.947</v>
      </c>
      <c r="Q7" s="7">
        <v>993.51</v>
      </c>
      <c r="W7" s="7">
        <v>4634.482</v>
      </c>
      <c r="X7" s="7">
        <v>4254.8239999999996</v>
      </c>
      <c r="Y7" s="7">
        <v>3934.585</v>
      </c>
      <c r="Z7" s="7">
        <v>3919.8490000000002</v>
      </c>
      <c r="AA7" s="7">
        <f t="shared" ref="AA7:AJ7" si="1">+AA6*0.95</f>
        <v>4228.7116109999997</v>
      </c>
      <c r="AB7" s="7">
        <f t="shared" si="1"/>
        <v>4313.2858432200001</v>
      </c>
      <c r="AC7" s="7">
        <f t="shared" si="1"/>
        <v>4787.7472859742011</v>
      </c>
      <c r="AD7" s="7">
        <f t="shared" si="1"/>
        <v>6224.0714717664614</v>
      </c>
      <c r="AE7" s="7">
        <f t="shared" si="1"/>
        <v>5912.8678981781377</v>
      </c>
      <c r="AF7" s="7">
        <f t="shared" si="1"/>
        <v>5617.2245032692308</v>
      </c>
      <c r="AG7" s="7">
        <f t="shared" si="1"/>
        <v>6740.669403923077</v>
      </c>
      <c r="AH7" s="7">
        <f t="shared" si="1"/>
        <v>6403.6359337269232</v>
      </c>
      <c r="AI7" s="7">
        <f t="shared" si="1"/>
        <v>6083.4541370405768</v>
      </c>
      <c r="AJ7" s="7">
        <f t="shared" si="1"/>
        <v>5779.2814301885473</v>
      </c>
      <c r="AL7" s="7" t="s">
        <v>245</v>
      </c>
      <c r="AM7" s="8">
        <v>0.06</v>
      </c>
    </row>
    <row r="8" spans="1:39" x14ac:dyDescent="0.25">
      <c r="B8" t="s">
        <v>216</v>
      </c>
      <c r="K8" s="7">
        <f>+K6-K7</f>
        <v>22.435000000000059</v>
      </c>
      <c r="L8" s="7">
        <f>+L6-L7</f>
        <v>48.843999999999824</v>
      </c>
      <c r="M8" s="7">
        <v>134.99299999999999</v>
      </c>
      <c r="O8" s="7">
        <v>6.63</v>
      </c>
      <c r="P8" s="7">
        <f>+P6-P7</f>
        <v>37.308999999999969</v>
      </c>
      <c r="Q8" s="7">
        <v>54.627000000000002</v>
      </c>
      <c r="W8" s="7">
        <f>+W6-W7</f>
        <v>394.52599999999984</v>
      </c>
      <c r="X8" s="7">
        <f>+X6-X7</f>
        <v>172.6190000000006</v>
      </c>
      <c r="Y8" s="7">
        <f>+Y6-Y7</f>
        <v>244.4340000000002</v>
      </c>
      <c r="Z8" s="7">
        <f>+Z6-Z7</f>
        <v>90.308999999999742</v>
      </c>
      <c r="AA8" s="7">
        <f t="shared" ref="AA8:AB8" si="2">+AA6-AA7</f>
        <v>222.56376900000032</v>
      </c>
      <c r="AB8" s="7">
        <f t="shared" si="2"/>
        <v>227.01504438000029</v>
      </c>
      <c r="AC8" s="7">
        <f>AC6*0.1</f>
        <v>503.97339852360011</v>
      </c>
      <c r="AD8" s="7">
        <f t="shared" ref="AD8:AJ8" si="3">AD6*0.1</f>
        <v>655.16541808068018</v>
      </c>
      <c r="AE8" s="7">
        <f t="shared" si="3"/>
        <v>622.40714717664616</v>
      </c>
      <c r="AF8" s="7">
        <f t="shared" si="3"/>
        <v>591.28678981781377</v>
      </c>
      <c r="AG8" s="7">
        <f t="shared" si="3"/>
        <v>709.54414778137652</v>
      </c>
      <c r="AH8" s="7">
        <f t="shared" si="3"/>
        <v>674.06694039230774</v>
      </c>
      <c r="AI8" s="7">
        <f t="shared" si="3"/>
        <v>640.36359337269232</v>
      </c>
      <c r="AJ8" s="7">
        <f t="shared" si="3"/>
        <v>608.34541370405771</v>
      </c>
      <c r="AL8" s="7" t="s">
        <v>242</v>
      </c>
      <c r="AM8" s="7">
        <f>NPV(AM7,Z12:AJ12)</f>
        <v>2843.4543787758871</v>
      </c>
    </row>
    <row r="9" spans="1:39" x14ac:dyDescent="0.25">
      <c r="B9" t="s">
        <v>150</v>
      </c>
      <c r="K9" s="7">
        <v>-28.199000000000002</v>
      </c>
      <c r="L9" s="7">
        <v>0.38200000000000001</v>
      </c>
      <c r="M9" s="7">
        <v>1.7110000000000001</v>
      </c>
      <c r="O9" s="7">
        <v>-2.456</v>
      </c>
      <c r="P9" s="7">
        <v>-1.341</v>
      </c>
      <c r="Q9" s="7">
        <v>-1.119</v>
      </c>
      <c r="W9" s="7">
        <v>-6.2229999999999999</v>
      </c>
      <c r="X9" s="7">
        <v>14.295999999999999</v>
      </c>
      <c r="Y9" s="7">
        <v>-25.72</v>
      </c>
      <c r="Z9" s="7">
        <v>-7.2140000000000004</v>
      </c>
      <c r="AA9" s="7">
        <v>-5.8819999999999997</v>
      </c>
      <c r="AB9" s="7">
        <v>-5.8819999999999997</v>
      </c>
      <c r="AC9" s="7">
        <v>-5.8819999999999997</v>
      </c>
      <c r="AD9" s="7">
        <v>-5.8819999999999997</v>
      </c>
      <c r="AE9" s="7">
        <v>-5.8819999999999997</v>
      </c>
      <c r="AF9" s="7">
        <v>-5.8819999999999997</v>
      </c>
      <c r="AG9" s="7">
        <v>-5.8819999999999997</v>
      </c>
      <c r="AH9" s="7">
        <v>-5.8819999999999997</v>
      </c>
      <c r="AI9" s="7">
        <v>-5.8819999999999997</v>
      </c>
      <c r="AJ9" s="7">
        <v>-5.8819999999999997</v>
      </c>
      <c r="AL9" s="7" t="s">
        <v>243</v>
      </c>
      <c r="AM9" s="7">
        <f>+AM8/AJ14</f>
        <v>115.33908160369478</v>
      </c>
    </row>
    <row r="10" spans="1:39" x14ac:dyDescent="0.25">
      <c r="B10" t="s">
        <v>151</v>
      </c>
      <c r="K10" s="7">
        <f>+K8+K9</f>
        <v>-5.7639999999999425</v>
      </c>
      <c r="L10" s="7">
        <f>+L8+L9</f>
        <v>49.225999999999821</v>
      </c>
      <c r="M10" s="7">
        <v>136.70400000000001</v>
      </c>
      <c r="O10" s="7">
        <f>+O8+O9</f>
        <v>4.1739999999999995</v>
      </c>
      <c r="P10" s="7">
        <f>+P8+P9</f>
        <v>35.967999999999968</v>
      </c>
      <c r="Q10" s="7">
        <v>53.508000000000003</v>
      </c>
      <c r="W10" s="7">
        <f>+W8+W9</f>
        <v>388.30299999999983</v>
      </c>
      <c r="X10" s="7">
        <f>+X8+X9</f>
        <v>186.91500000000059</v>
      </c>
      <c r="Y10" s="7">
        <f>+Y8+Y9</f>
        <v>218.7140000000002</v>
      </c>
      <c r="Z10" s="7">
        <f t="shared" ref="Z10:AJ10" si="4">+Z8+Z9</f>
        <v>83.094999999999743</v>
      </c>
      <c r="AA10" s="7">
        <f t="shared" si="4"/>
        <v>216.68176900000032</v>
      </c>
      <c r="AB10" s="7">
        <f t="shared" si="4"/>
        <v>221.13304438000029</v>
      </c>
      <c r="AC10" s="7">
        <f t="shared" si="4"/>
        <v>498.09139852360011</v>
      </c>
      <c r="AD10" s="7">
        <f t="shared" si="4"/>
        <v>649.28341808068024</v>
      </c>
      <c r="AE10" s="7">
        <f t="shared" si="4"/>
        <v>616.52514717664621</v>
      </c>
      <c r="AF10" s="7">
        <f t="shared" si="4"/>
        <v>585.40478981781382</v>
      </c>
      <c r="AG10" s="7">
        <f t="shared" si="4"/>
        <v>703.66214778137658</v>
      </c>
      <c r="AH10" s="7">
        <f t="shared" si="4"/>
        <v>668.18494039230779</v>
      </c>
      <c r="AI10" s="7">
        <f t="shared" si="4"/>
        <v>634.48159337269237</v>
      </c>
      <c r="AJ10" s="7">
        <f t="shared" si="4"/>
        <v>602.46341370405776</v>
      </c>
    </row>
    <row r="11" spans="1:39" x14ac:dyDescent="0.25">
      <c r="B11" t="s">
        <v>247</v>
      </c>
      <c r="K11" s="7">
        <v>1.7649999999999999</v>
      </c>
      <c r="L11" s="7">
        <v>-2.3029999999999999</v>
      </c>
      <c r="M11" s="7">
        <v>36.39</v>
      </c>
      <c r="O11" s="7">
        <v>1.0429999999999999</v>
      </c>
      <c r="P11" s="7">
        <v>-10.159000000000001</v>
      </c>
      <c r="Q11" s="7">
        <v>-14.234</v>
      </c>
      <c r="W11" s="7">
        <v>-93.655000000000001</v>
      </c>
      <c r="X11" s="7">
        <v>-44.750999999999998</v>
      </c>
      <c r="Y11" s="7">
        <v>-45.353000000000002</v>
      </c>
      <c r="Z11" s="7">
        <v>-22.997</v>
      </c>
      <c r="AA11" s="7">
        <f t="shared" ref="AA11:AJ11" si="5">-0.02*AA6</f>
        <v>-89.025507599999997</v>
      </c>
      <c r="AB11" s="7">
        <f t="shared" si="5"/>
        <v>-90.806017752000002</v>
      </c>
      <c r="AC11" s="7">
        <f t="shared" si="5"/>
        <v>-100.79467970472002</v>
      </c>
      <c r="AD11" s="7">
        <f t="shared" si="5"/>
        <v>-131.03308361613603</v>
      </c>
      <c r="AE11" s="7">
        <f t="shared" si="5"/>
        <v>-124.48142943532923</v>
      </c>
      <c r="AF11" s="7">
        <f t="shared" si="5"/>
        <v>-118.25735796356275</v>
      </c>
      <c r="AG11" s="7">
        <f t="shared" si="5"/>
        <v>-141.90882955627532</v>
      </c>
      <c r="AH11" s="7">
        <f t="shared" si="5"/>
        <v>-134.81338807846154</v>
      </c>
      <c r="AI11" s="7">
        <f t="shared" si="5"/>
        <v>-128.07271867453846</v>
      </c>
      <c r="AJ11" s="7">
        <f t="shared" si="5"/>
        <v>-121.66908274081153</v>
      </c>
    </row>
    <row r="12" spans="1:39" x14ac:dyDescent="0.25">
      <c r="B12" t="s">
        <v>152</v>
      </c>
      <c r="K12" s="7">
        <f>+K9+K11</f>
        <v>-26.434000000000001</v>
      </c>
      <c r="L12" s="7">
        <f>+L10+L11</f>
        <v>46.922999999999824</v>
      </c>
      <c r="M12" s="7">
        <f>+M10-M11</f>
        <v>100.31400000000001</v>
      </c>
      <c r="O12" s="7">
        <f>+O10-O11</f>
        <v>3.1309999999999993</v>
      </c>
      <c r="P12" s="7">
        <f>+P10+P11</f>
        <v>25.808999999999969</v>
      </c>
      <c r="Q12" s="7">
        <f>+Q10+Q11</f>
        <v>39.274000000000001</v>
      </c>
      <c r="W12" s="7">
        <f>+W10+W11</f>
        <v>294.6479999999998</v>
      </c>
      <c r="X12" s="7">
        <f>+X10+X11</f>
        <v>142.16400000000058</v>
      </c>
      <c r="Y12" s="7">
        <f>+Y10+Y11</f>
        <v>173.36100000000019</v>
      </c>
      <c r="Z12" s="7">
        <f>+Z10+Z11</f>
        <v>60.097999999999743</v>
      </c>
      <c r="AA12" s="7">
        <f t="shared" ref="AA12:AJ12" si="6">+AA10+AA11</f>
        <v>127.65626140000032</v>
      </c>
      <c r="AB12" s="7">
        <f t="shared" si="6"/>
        <v>130.32702662800028</v>
      </c>
      <c r="AC12" s="7">
        <f t="shared" si="6"/>
        <v>397.29671881888009</v>
      </c>
      <c r="AD12" s="7">
        <f t="shared" si="6"/>
        <v>518.25033446454427</v>
      </c>
      <c r="AE12" s="7">
        <f t="shared" si="6"/>
        <v>492.04371774131698</v>
      </c>
      <c r="AF12" s="7">
        <f t="shared" si="6"/>
        <v>467.14743185425107</v>
      </c>
      <c r="AG12" s="7">
        <f t="shared" si="6"/>
        <v>561.75331822510122</v>
      </c>
      <c r="AH12" s="7">
        <f t="shared" si="6"/>
        <v>533.37155231384622</v>
      </c>
      <c r="AI12" s="7">
        <f t="shared" si="6"/>
        <v>506.40887469815391</v>
      </c>
      <c r="AJ12" s="7">
        <f t="shared" si="6"/>
        <v>480.79433096324624</v>
      </c>
    </row>
    <row r="13" spans="1:39" x14ac:dyDescent="0.25">
      <c r="B13" t="s">
        <v>153</v>
      </c>
      <c r="K13" s="7">
        <f>+K12/K14</f>
        <v>-1.1339224433768016</v>
      </c>
      <c r="L13" s="7">
        <f>+L12/L14</f>
        <v>1.9616956177342764</v>
      </c>
      <c r="M13" s="7">
        <f>+M12/M14</f>
        <v>4.2344234642965084</v>
      </c>
      <c r="O13" s="7">
        <f>+O12/O14</f>
        <v>0.13453493237546407</v>
      </c>
      <c r="P13" s="7">
        <f>+P12/P14</f>
        <v>1.1217057959841015</v>
      </c>
      <c r="Q13" s="7">
        <f>+Q12/Q14</f>
        <v>1.7216626402188004</v>
      </c>
      <c r="W13" s="7">
        <f t="shared" ref="W13:AJ13" si="7">+W12/W14</f>
        <v>11.552781178919421</v>
      </c>
      <c r="X13" s="7">
        <f t="shared" si="7"/>
        <v>5.7709036028447525</v>
      </c>
      <c r="Y13" s="7">
        <f t="shared" si="7"/>
        <v>7.2779062286486225</v>
      </c>
      <c r="Z13" s="7">
        <f t="shared" si="7"/>
        <v>2.6315603951605415</v>
      </c>
      <c r="AA13" s="7">
        <f t="shared" si="7"/>
        <v>5.1781228004705442</v>
      </c>
      <c r="AB13" s="7">
        <f t="shared" si="7"/>
        <v>5.2864570895225853</v>
      </c>
      <c r="AC13" s="7">
        <f t="shared" si="7"/>
        <v>16.115552623164731</v>
      </c>
      <c r="AD13" s="7">
        <f t="shared" si="7"/>
        <v>21.021795905753631</v>
      </c>
      <c r="AE13" s="7">
        <f t="shared" si="7"/>
        <v>19.958776527859367</v>
      </c>
      <c r="AF13" s="7">
        <f t="shared" si="7"/>
        <v>18.948908118859819</v>
      </c>
      <c r="AG13" s="7">
        <f t="shared" si="7"/>
        <v>22.786408073058098</v>
      </c>
      <c r="AH13" s="7">
        <f t="shared" si="7"/>
        <v>21.635158086798615</v>
      </c>
      <c r="AI13" s="7">
        <f t="shared" si="7"/>
        <v>20.541470599852104</v>
      </c>
      <c r="AJ13" s="7">
        <f t="shared" si="7"/>
        <v>19.502467487252922</v>
      </c>
    </row>
    <row r="14" spans="1:39" x14ac:dyDescent="0.25">
      <c r="B14" t="s">
        <v>154</v>
      </c>
      <c r="K14" s="7">
        <v>23.312000000000001</v>
      </c>
      <c r="L14" s="7">
        <v>23.919612999999998</v>
      </c>
      <c r="M14" s="7">
        <v>23.69012</v>
      </c>
      <c r="O14" s="7">
        <v>23.272766000000001</v>
      </c>
      <c r="P14" s="7">
        <v>23.008707000000001</v>
      </c>
      <c r="Q14" s="7">
        <v>22.811669999999999</v>
      </c>
      <c r="W14" s="7">
        <v>25.504508000000001</v>
      </c>
      <c r="X14" s="7">
        <v>24.634616999999999</v>
      </c>
      <c r="Y14" s="7">
        <v>23.820174999999999</v>
      </c>
      <c r="Z14" s="7">
        <v>22.837401</v>
      </c>
      <c r="AA14" s="7">
        <v>24.652999999999999</v>
      </c>
      <c r="AB14" s="7">
        <v>24.652999999999999</v>
      </c>
      <c r="AC14" s="7">
        <v>24.652999999999999</v>
      </c>
      <c r="AD14" s="7">
        <v>24.652999999999999</v>
      </c>
      <c r="AE14" s="7">
        <v>24.652999999999999</v>
      </c>
      <c r="AF14" s="7">
        <v>24.652999999999999</v>
      </c>
      <c r="AG14" s="7">
        <v>24.652999999999999</v>
      </c>
      <c r="AH14" s="7">
        <v>24.652999999999999</v>
      </c>
      <c r="AI14" s="7">
        <v>24.652999999999999</v>
      </c>
      <c r="AJ14" s="7">
        <v>24.652999999999999</v>
      </c>
    </row>
    <row r="16" spans="1:39" s="8" customFormat="1" x14ac:dyDescent="0.25">
      <c r="A16"/>
      <c r="B16" t="s">
        <v>246</v>
      </c>
      <c r="K16" s="8">
        <f>+K8/K6</f>
        <v>2.1646650630681274E-2</v>
      </c>
      <c r="L16" s="8">
        <f>+L8/L6</f>
        <v>4.5316979486560799E-2</v>
      </c>
      <c r="M16" s="8">
        <f>+M8/M6</f>
        <v>0.12697766206011715</v>
      </c>
      <c r="O16" s="8">
        <f>+O8/O6</f>
        <v>6.8557105587248998E-3</v>
      </c>
      <c r="P16" s="8">
        <f>+P8/P6</f>
        <v>3.6496728803743848E-2</v>
      </c>
      <c r="Q16" s="8">
        <f>+Q8/Q6</f>
        <v>5.2118186840079114E-2</v>
      </c>
      <c r="W16" s="8">
        <f>+W8/W6</f>
        <v>7.8450064108070594E-2</v>
      </c>
      <c r="X16" s="8">
        <f>+X8/X6</f>
        <v>3.8988418371507121E-2</v>
      </c>
      <c r="Y16" s="8">
        <f>+Y8/Y6</f>
        <v>5.8490760630664801E-2</v>
      </c>
      <c r="Z16" s="8">
        <f>+Z8/Z6</f>
        <v>2.2520060306850689E-2</v>
      </c>
    </row>
    <row r="17" spans="1:36" s="8" customFormat="1" x14ac:dyDescent="0.25">
      <c r="A17"/>
      <c r="B17" t="s">
        <v>215</v>
      </c>
      <c r="O17" s="8">
        <f>+(O6-L6)/L6</f>
        <v>-0.10275553658740241</v>
      </c>
      <c r="P17" s="8">
        <f>+(P6-L6)/L6</f>
        <v>-5.1561006837812978E-2</v>
      </c>
      <c r="Q17" s="8">
        <f>+(Q6-M6)/M6</f>
        <v>-1.4097132601653316E-2</v>
      </c>
      <c r="V17" s="8">
        <f>SUM(V6-U6)/U6</f>
        <v>0.35368923423633314</v>
      </c>
      <c r="W17" s="8">
        <f>SUM(W6-V6)/V6</f>
        <v>0.26354857845357876</v>
      </c>
      <c r="X17" s="8">
        <f>SUM(X6-W6)/W6</f>
        <v>-0.11961901830341086</v>
      </c>
      <c r="Y17" s="8">
        <f>SUM(Y6-X6)/X6</f>
        <v>-5.6110039135455828E-2</v>
      </c>
      <c r="Z17" s="8">
        <f>SUM(Z6-Y6)/Y6</f>
        <v>-4.0406851464422709E-2</v>
      </c>
      <c r="AA17" s="8">
        <v>0.11</v>
      </c>
      <c r="AB17" s="8">
        <v>0.2</v>
      </c>
      <c r="AC17" s="8">
        <v>0.11</v>
      </c>
      <c r="AD17" s="8">
        <v>0.3</v>
      </c>
      <c r="AE17" s="8">
        <v>-0.05</v>
      </c>
      <c r="AF17" s="8">
        <v>-0.05</v>
      </c>
      <c r="AG17" s="8">
        <v>0.6</v>
      </c>
      <c r="AH17" s="8">
        <v>0.2</v>
      </c>
      <c r="AI17" s="8">
        <v>-0.05</v>
      </c>
      <c r="AJ17" s="8">
        <v>-0.05</v>
      </c>
    </row>
    <row r="19" spans="1:36" x14ac:dyDescent="0.25">
      <c r="B19" t="s">
        <v>155</v>
      </c>
      <c r="K19" s="7">
        <f>127.444+29.759</f>
        <v>157.203</v>
      </c>
      <c r="L19" s="7">
        <f>127.444+29.759</f>
        <v>157.203</v>
      </c>
      <c r="O19" s="7">
        <f>74.122+24.552</f>
        <v>98.674000000000007</v>
      </c>
      <c r="P19" s="7">
        <f>114.874+24.801</f>
        <v>139.67499999999998</v>
      </c>
      <c r="W19" s="7">
        <f>158.372+167.662</f>
        <v>326.03399999999999</v>
      </c>
      <c r="X19" s="7">
        <f>262.226+67.842</f>
        <v>330.06799999999998</v>
      </c>
      <c r="Y19" s="7">
        <f>127.444+29.759</f>
        <v>157.203</v>
      </c>
      <c r="Z19" s="7">
        <f>102.03+22.204</f>
        <v>124.23400000000001</v>
      </c>
    </row>
    <row r="20" spans="1:36" x14ac:dyDescent="0.25">
      <c r="B20" t="s">
        <v>156</v>
      </c>
      <c r="K20" s="7">
        <f>125.156+63.978</f>
        <v>189.13400000000001</v>
      </c>
      <c r="L20" s="7">
        <f>63.978+125.156</f>
        <v>189.13400000000001</v>
      </c>
      <c r="O20" s="7">
        <f>147.528+66.692</f>
        <v>214.21999999999997</v>
      </c>
      <c r="P20" s="7">
        <f>77.549+163.85</f>
        <v>241.399</v>
      </c>
      <c r="W20" s="7">
        <f>198.371+66.252</f>
        <v>264.62299999999999</v>
      </c>
      <c r="X20" s="7">
        <f>66.948+161.99</f>
        <v>228.93799999999999</v>
      </c>
      <c r="Y20" s="7">
        <f>63.978+125.156</f>
        <v>189.13400000000001</v>
      </c>
      <c r="Z20" s="7">
        <f>135.974+ 87.882</f>
        <v>223.85599999999999</v>
      </c>
    </row>
    <row r="21" spans="1:36" x14ac:dyDescent="0.25">
      <c r="B21" t="s">
        <v>211</v>
      </c>
      <c r="K21" s="7">
        <f>+K19-K20</f>
        <v>-31.931000000000012</v>
      </c>
      <c r="L21" s="7">
        <f>+L19-L20</f>
        <v>-31.931000000000012</v>
      </c>
      <c r="O21" s="7">
        <f>+O19-O20</f>
        <v>-115.54599999999996</v>
      </c>
      <c r="P21" s="7">
        <f>+P19-P20</f>
        <v>-101.72400000000002</v>
      </c>
      <c r="W21" s="7">
        <f>+W19-W20</f>
        <v>61.411000000000001</v>
      </c>
      <c r="X21" s="7">
        <f>+X19-X20</f>
        <v>101.13</v>
      </c>
      <c r="Y21" s="7">
        <f>+Y19-Y20</f>
        <v>-31.931000000000012</v>
      </c>
      <c r="Z21" s="7">
        <f>+Z19-Z20</f>
        <v>-99.621999999999986</v>
      </c>
    </row>
    <row r="23" spans="1:36" x14ac:dyDescent="0.25">
      <c r="B23" t="s">
        <v>157</v>
      </c>
      <c r="K23" s="7">
        <v>530.95699999999999</v>
      </c>
      <c r="L23" s="7">
        <v>520.19899999999996</v>
      </c>
      <c r="O23" s="7">
        <v>520.11900000000003</v>
      </c>
      <c r="P23" s="7">
        <v>536.79100000000005</v>
      </c>
      <c r="W23" s="7">
        <v>406.62</v>
      </c>
      <c r="X23" s="7">
        <v>46.067999999999998</v>
      </c>
      <c r="Y23" s="7">
        <v>520.11900000000003</v>
      </c>
      <c r="Z23" s="7">
        <v>566.07100000000003</v>
      </c>
    </row>
    <row r="24" spans="1:36" x14ac:dyDescent="0.25">
      <c r="B24" t="s">
        <v>158</v>
      </c>
      <c r="K24" s="7">
        <v>1160.3320000000001</v>
      </c>
      <c r="L24" s="7">
        <v>1166.1610000000001</v>
      </c>
      <c r="O24" s="7">
        <v>1166.1610000000001</v>
      </c>
      <c r="P24" s="7">
        <v>1200.2190000000001</v>
      </c>
      <c r="W24" s="7">
        <v>1038.8320000000001</v>
      </c>
      <c r="X24" s="7">
        <v>1126.0550000000001</v>
      </c>
      <c r="Y24" s="7">
        <v>1166.1610000000001</v>
      </c>
      <c r="Z24" s="7">
        <v>1201.383</v>
      </c>
    </row>
    <row r="25" spans="1:36" x14ac:dyDescent="0.25">
      <c r="B25" t="s">
        <v>159</v>
      </c>
      <c r="K25" s="7">
        <v>352.38299999999998</v>
      </c>
      <c r="L25" s="7">
        <v>351.90699999999998</v>
      </c>
      <c r="O25" s="7">
        <v>351.90699999999998</v>
      </c>
      <c r="P25" s="7">
        <v>356.31900000000002</v>
      </c>
      <c r="W25" s="7">
        <v>302.89100000000002</v>
      </c>
      <c r="X25" s="7">
        <v>319.46600000000001</v>
      </c>
      <c r="Y25" s="7">
        <v>351.90699999999998</v>
      </c>
      <c r="Z25" s="7">
        <v>363.34</v>
      </c>
    </row>
    <row r="26" spans="1:36" x14ac:dyDescent="0.25">
      <c r="B26" t="s">
        <v>160</v>
      </c>
      <c r="K26" s="7">
        <v>185.52600000000001</v>
      </c>
      <c r="L26" s="7">
        <v>182.39599999999999</v>
      </c>
      <c r="O26" s="7">
        <v>182.39599999999999</v>
      </c>
      <c r="P26" s="7">
        <v>183.52</v>
      </c>
      <c r="W26" s="7">
        <v>180.929</v>
      </c>
      <c r="X26" s="7">
        <v>173.35400000000001</v>
      </c>
      <c r="Y26" s="7">
        <v>182.39599999999999</v>
      </c>
      <c r="Z26" s="7">
        <v>190.673</v>
      </c>
    </row>
    <row r="27" spans="1:36" x14ac:dyDescent="0.25">
      <c r="B27" t="s">
        <v>161</v>
      </c>
      <c r="K27" s="7">
        <v>33.368000000000002</v>
      </c>
      <c r="L27" s="7">
        <v>32.262999999999998</v>
      </c>
      <c r="O27" s="7">
        <v>32.262999999999998</v>
      </c>
      <c r="P27" s="7">
        <v>35.064999999999998</v>
      </c>
      <c r="W27" s="7">
        <v>23.466000000000001</v>
      </c>
      <c r="X27" s="7">
        <v>24.428999999999998</v>
      </c>
      <c r="Y27" s="7">
        <v>32.262999999999998</v>
      </c>
      <c r="Z27" s="7">
        <v>41.530999999999999</v>
      </c>
    </row>
    <row r="28" spans="1:36" x14ac:dyDescent="0.25">
      <c r="B28" t="s">
        <v>212</v>
      </c>
      <c r="K28" s="7">
        <v>1199.18</v>
      </c>
      <c r="L28" s="7">
        <v>1186.8</v>
      </c>
      <c r="O28" s="7">
        <v>1186.8</v>
      </c>
      <c r="P28" s="7">
        <v>1198.7570000000001</v>
      </c>
      <c r="W28" s="7">
        <v>1142.2180000000001</v>
      </c>
      <c r="X28" s="7">
        <v>1188.548</v>
      </c>
      <c r="Y28" s="7">
        <v>1186.8</v>
      </c>
      <c r="Z28" s="7">
        <v>1219.5640000000001</v>
      </c>
    </row>
    <row r="29" spans="1:36" x14ac:dyDescent="0.25">
      <c r="B29" t="s">
        <v>162</v>
      </c>
      <c r="K29" s="7">
        <v>1063.386</v>
      </c>
      <c r="L29" s="7">
        <f>SUM(L23:L27)-L28</f>
        <v>1066.126</v>
      </c>
      <c r="O29" s="7">
        <v>1066.046</v>
      </c>
      <c r="P29" s="7">
        <f>+P23+P24+P25+P26+P27-P28</f>
        <v>1113.1570000000002</v>
      </c>
      <c r="W29" s="7">
        <f>SUM(W23:W27)-W28</f>
        <v>810.52000000000021</v>
      </c>
      <c r="X29" s="7">
        <f>+X23+X24+X25+X26+X27-X28</f>
        <v>500.82400000000007</v>
      </c>
      <c r="Y29" s="7">
        <f>+Y23+Y24+Y25+Y26+Y27-Y28</f>
        <v>1066.046</v>
      </c>
      <c r="Z29" s="7">
        <v>1143.4369999999999</v>
      </c>
    </row>
    <row r="30" spans="1:36" x14ac:dyDescent="0.25">
      <c r="B30" t="s">
        <v>163</v>
      </c>
      <c r="K30" s="7">
        <v>304.75299999999999</v>
      </c>
      <c r="L30" s="7">
        <v>304.75299999999999</v>
      </c>
      <c r="O30" s="7">
        <v>304.75299999999999</v>
      </c>
      <c r="P30" s="7">
        <v>304.75299999999999</v>
      </c>
      <c r="W30" s="7">
        <v>305.38200000000001</v>
      </c>
      <c r="X30" s="7">
        <v>304.75299999999999</v>
      </c>
      <c r="Y30" s="7">
        <v>304.75299999999999</v>
      </c>
      <c r="Z30" s="7">
        <v>304.75299999999999</v>
      </c>
    </row>
    <row r="31" spans="1:36" x14ac:dyDescent="0.25">
      <c r="B31" t="s">
        <v>164</v>
      </c>
      <c r="K31" s="7">
        <v>85.448999999999998</v>
      </c>
      <c r="L31" s="7">
        <v>88.614999999999995</v>
      </c>
      <c r="O31" s="7">
        <v>88.614999999999995</v>
      </c>
      <c r="P31" s="7">
        <v>82.448999999999998</v>
      </c>
      <c r="W31" s="7">
        <v>113.79600000000001</v>
      </c>
      <c r="X31" s="7">
        <v>101.15</v>
      </c>
      <c r="Y31" s="7">
        <v>88.614999999999995</v>
      </c>
      <c r="Z31" s="7">
        <v>69.391000000000005</v>
      </c>
    </row>
    <row r="32" spans="1:36" x14ac:dyDescent="0.25">
      <c r="B32" t="s">
        <v>165</v>
      </c>
      <c r="K32" s="7">
        <v>228.684</v>
      </c>
      <c r="L32" s="7">
        <v>192.75299999999999</v>
      </c>
      <c r="O32" s="7">
        <v>192.75299999999999</v>
      </c>
      <c r="P32" s="7">
        <v>229.905</v>
      </c>
      <c r="W32" s="7">
        <v>166.51499999999999</v>
      </c>
      <c r="X32" s="7">
        <v>169.999</v>
      </c>
      <c r="Y32" s="7">
        <v>192.75299999999999</v>
      </c>
      <c r="Z32" s="7">
        <v>220.15700000000001</v>
      </c>
    </row>
    <row r="33" spans="2:26" x14ac:dyDescent="0.25">
      <c r="B33" t="s">
        <v>248</v>
      </c>
      <c r="K33" s="7">
        <v>2406.884</v>
      </c>
      <c r="L33" s="7">
        <v>92.385999999999996</v>
      </c>
      <c r="O33" s="7">
        <v>2429.7310000000002</v>
      </c>
      <c r="P33" s="7">
        <v>2467.4360000000001</v>
      </c>
      <c r="W33" s="7">
        <v>101.94799999999999</v>
      </c>
      <c r="X33" s="7">
        <v>101.44499999999999</v>
      </c>
      <c r="Y33" s="7">
        <v>92.385999999999996</v>
      </c>
      <c r="Z33" s="7">
        <v>79.558000000000007</v>
      </c>
    </row>
    <row r="35" spans="2:26" x14ac:dyDescent="0.25">
      <c r="B35" t="s">
        <v>166</v>
      </c>
      <c r="K35" s="7">
        <v>168.94300000000001</v>
      </c>
      <c r="L35" s="7">
        <v>168.94300000000001</v>
      </c>
      <c r="O35" s="7">
        <v>166.869</v>
      </c>
      <c r="P35" s="7">
        <v>176.90299999999999</v>
      </c>
      <c r="W35" s="7">
        <v>317.541</v>
      </c>
      <c r="X35" s="7">
        <v>214.00399999999999</v>
      </c>
      <c r="Y35" s="7">
        <v>172.76300000000001</v>
      </c>
      <c r="Z35" s="7">
        <v>154.48699999999999</v>
      </c>
    </row>
    <row r="36" spans="2:26" x14ac:dyDescent="0.25">
      <c r="B36" t="s">
        <v>167</v>
      </c>
      <c r="L36" s="7">
        <v>0</v>
      </c>
      <c r="O36" s="7">
        <v>1.7649999999999999</v>
      </c>
      <c r="P36" s="7">
        <v>3.63</v>
      </c>
      <c r="W36" s="7">
        <v>16.63</v>
      </c>
      <c r="X36" s="7">
        <v>10.41</v>
      </c>
    </row>
    <row r="37" spans="2:26" x14ac:dyDescent="0.25">
      <c r="B37" t="s">
        <v>168</v>
      </c>
      <c r="K37" s="7">
        <v>398.7</v>
      </c>
      <c r="L37" s="7">
        <v>398.7</v>
      </c>
      <c r="O37" s="7">
        <v>356.702</v>
      </c>
      <c r="P37" s="7">
        <v>368.62299999999999</v>
      </c>
      <c r="W37" s="7">
        <v>341.822</v>
      </c>
      <c r="X37" s="7">
        <v>378.029</v>
      </c>
      <c r="Y37" s="7">
        <v>394.88</v>
      </c>
      <c r="Z37" s="7">
        <v>378.125</v>
      </c>
    </row>
    <row r="38" spans="2:26" x14ac:dyDescent="0.25">
      <c r="B38" t="s">
        <v>169</v>
      </c>
      <c r="K38" s="7">
        <v>34.363999999999997</v>
      </c>
      <c r="L38" s="7">
        <f>34.364+189.978</f>
        <v>224.34200000000001</v>
      </c>
      <c r="O38" s="7">
        <v>34.08</v>
      </c>
      <c r="P38" s="7">
        <f>34.967+215.376</f>
        <v>250.34300000000002</v>
      </c>
      <c r="W38" s="7">
        <f>26.225+147.828</f>
        <v>174.053</v>
      </c>
      <c r="X38" s="7">
        <f>32.172+176.621</f>
        <v>208.79300000000001</v>
      </c>
      <c r="Y38" s="7">
        <f>34.364+189.978</f>
        <v>224.34200000000001</v>
      </c>
      <c r="Z38" s="7">
        <v>36.393999999999998</v>
      </c>
    </row>
    <row r="39" spans="2:26" x14ac:dyDescent="0.25">
      <c r="B39" t="s">
        <v>170</v>
      </c>
      <c r="K39" s="7">
        <v>78.649000000000001</v>
      </c>
      <c r="L39" s="7">
        <v>78.649000000000001</v>
      </c>
      <c r="O39" s="7">
        <v>79.314999999999998</v>
      </c>
      <c r="P39" s="7">
        <v>78.278999999999996</v>
      </c>
      <c r="W39" s="7">
        <v>61.274999999999999</v>
      </c>
      <c r="X39" s="7">
        <v>55.784999999999997</v>
      </c>
      <c r="Y39" s="7">
        <v>78.649000000000001</v>
      </c>
      <c r="Z39" s="7">
        <v>111.58</v>
      </c>
    </row>
    <row r="40" spans="2:26" x14ac:dyDescent="0.25">
      <c r="B40" t="s">
        <v>171</v>
      </c>
      <c r="K40" s="7">
        <v>42.24</v>
      </c>
      <c r="L40" s="7">
        <v>42.24</v>
      </c>
      <c r="O40" s="7">
        <v>32.97</v>
      </c>
      <c r="P40" s="7">
        <v>34.722999999999999</v>
      </c>
      <c r="W40" s="7">
        <v>154.745</v>
      </c>
      <c r="X40" s="7">
        <v>40.552999999999997</v>
      </c>
      <c r="Y40" s="7">
        <v>39.590000000000003</v>
      </c>
      <c r="Z40" s="7">
        <v>34.47</v>
      </c>
    </row>
    <row r="41" spans="2:26" x14ac:dyDescent="0.25">
      <c r="B41" t="s">
        <v>173</v>
      </c>
      <c r="K41" s="7">
        <f>+K43-K42</f>
        <v>1115.0990000000002</v>
      </c>
      <c r="L41" s="7">
        <f>SUM(L35:L40)</f>
        <v>912.87400000000002</v>
      </c>
      <c r="O41" s="7">
        <f>+O43-O42</f>
        <v>1112.1400000000001</v>
      </c>
      <c r="P41" s="7">
        <f>+P43-P42</f>
        <v>1167.0100000000002</v>
      </c>
      <c r="W41" s="7">
        <f>SUM(W35:W40)</f>
        <v>1066.0659999999998</v>
      </c>
      <c r="X41" s="7">
        <f>SUM(X35:X40)</f>
        <v>907.57399999999996</v>
      </c>
      <c r="Y41" s="7">
        <f>SUM(Y35:Y40)</f>
        <v>910.22400000000005</v>
      </c>
      <c r="Z41" s="7">
        <f>SUM(Z35:Z40)</f>
        <v>715.05600000000004</v>
      </c>
    </row>
    <row r="42" spans="2:26" x14ac:dyDescent="0.25">
      <c r="B42" t="s">
        <v>172</v>
      </c>
      <c r="K42" s="7">
        <v>1314.6320000000001</v>
      </c>
      <c r="L42" s="7">
        <v>1314.3620000000001</v>
      </c>
      <c r="O42" s="7">
        <v>1294.7439999999999</v>
      </c>
      <c r="P42" s="7">
        <v>1300.4259999999999</v>
      </c>
      <c r="W42" s="7">
        <v>1151.4010000000001</v>
      </c>
      <c r="X42" s="7">
        <v>1242.3630000000001</v>
      </c>
      <c r="Y42" s="7">
        <v>1314.3620000000001</v>
      </c>
      <c r="Z42" s="7">
        <v>1295.721</v>
      </c>
    </row>
    <row r="43" spans="2:26" x14ac:dyDescent="0.25">
      <c r="B43" t="s">
        <v>174</v>
      </c>
      <c r="K43" s="7">
        <v>2429.7310000000002</v>
      </c>
      <c r="L43" s="7">
        <v>2429.7310000000002</v>
      </c>
      <c r="O43" s="7">
        <v>2406.884</v>
      </c>
      <c r="P43" s="7">
        <v>2467.4360000000001</v>
      </c>
      <c r="W43" s="7">
        <f>+W41+W42</f>
        <v>2217.4669999999996</v>
      </c>
      <c r="X43" s="7">
        <v>2485.0940000000001</v>
      </c>
      <c r="Y43" s="7">
        <v>2429.7310000000002</v>
      </c>
      <c r="Z43" s="7">
        <v>2452.6619999999998</v>
      </c>
    </row>
    <row r="46" spans="2:26" x14ac:dyDescent="0.25">
      <c r="B46" t="s">
        <v>152</v>
      </c>
      <c r="L46" s="7">
        <v>44.612000000000002</v>
      </c>
      <c r="O46" s="7">
        <v>3131</v>
      </c>
      <c r="P46" s="7">
        <v>28.94</v>
      </c>
      <c r="W46" s="7">
        <v>298.209</v>
      </c>
      <c r="X46" s="7">
        <v>195.43299999999999</v>
      </c>
      <c r="Y46" s="7">
        <v>173.96100000000001</v>
      </c>
      <c r="Z46" s="7">
        <v>60.097999999999999</v>
      </c>
    </row>
    <row r="47" spans="2:26" x14ac:dyDescent="0.25">
      <c r="B47" t="s">
        <v>175</v>
      </c>
      <c r="L47" s="7">
        <v>66.692999999999998</v>
      </c>
      <c r="O47" s="7">
        <v>36.764000000000003</v>
      </c>
      <c r="P47" s="7">
        <v>74.489999999999995</v>
      </c>
      <c r="W47" s="7">
        <v>127.119</v>
      </c>
      <c r="X47" s="7">
        <v>132.9</v>
      </c>
      <c r="Y47" s="7">
        <v>136.26499999999999</v>
      </c>
      <c r="Z47" s="7">
        <v>157.535</v>
      </c>
    </row>
    <row r="48" spans="2:26" x14ac:dyDescent="0.25">
      <c r="B48" t="s">
        <v>176</v>
      </c>
      <c r="L48" s="7">
        <v>6.4160000000000004</v>
      </c>
      <c r="P48" s="7">
        <v>6.4</v>
      </c>
      <c r="W48" s="7">
        <v>12.92</v>
      </c>
      <c r="X48" s="7">
        <v>12.829000000000001</v>
      </c>
      <c r="Y48" s="7">
        <v>12.821999999999999</v>
      </c>
      <c r="Z48" s="7">
        <v>12.8</v>
      </c>
    </row>
    <row r="49" spans="2:26" x14ac:dyDescent="0.25">
      <c r="B49" t="s">
        <v>177</v>
      </c>
      <c r="L49" s="7">
        <v>6.3220000000000001</v>
      </c>
      <c r="P49" s="7">
        <v>6.1619999999999999</v>
      </c>
      <c r="W49" s="7">
        <v>12.775</v>
      </c>
      <c r="X49" s="7">
        <v>12.829000000000001</v>
      </c>
      <c r="Y49" s="7">
        <v>12.821999999999999</v>
      </c>
      <c r="Z49" s="7">
        <v>10.574999999999999</v>
      </c>
    </row>
    <row r="50" spans="2:26" x14ac:dyDescent="0.25">
      <c r="B50" t="s">
        <v>178</v>
      </c>
      <c r="L50" s="7">
        <v>1.248</v>
      </c>
      <c r="P50" s="7">
        <v>1.4019999999999999</v>
      </c>
      <c r="W50" s="7">
        <v>6.9550000000000001</v>
      </c>
      <c r="X50" s="7">
        <v>3.63</v>
      </c>
      <c r="Y50" s="7">
        <v>4.8339999999999996</v>
      </c>
      <c r="Z50" s="7">
        <v>3.282</v>
      </c>
    </row>
    <row r="51" spans="2:26" x14ac:dyDescent="0.25">
      <c r="B51" t="s">
        <v>179</v>
      </c>
      <c r="L51" s="7">
        <v>-11.457000000000001</v>
      </c>
      <c r="P51" s="7">
        <v>-0.187</v>
      </c>
      <c r="W51" s="7">
        <v>-6.25</v>
      </c>
      <c r="X51" s="7">
        <v>-5.556</v>
      </c>
      <c r="Y51" s="7">
        <v>22.437000000000001</v>
      </c>
      <c r="Z51" s="7">
        <v>33.372</v>
      </c>
    </row>
    <row r="52" spans="2:26" x14ac:dyDescent="0.25">
      <c r="B52" t="s">
        <v>235</v>
      </c>
      <c r="L52" s="7">
        <v>0.56499999999999995</v>
      </c>
      <c r="P52" s="7">
        <v>4.2000000000000003E-2</v>
      </c>
      <c r="W52" s="7">
        <v>-11.65</v>
      </c>
      <c r="X52" s="7">
        <v>4.7969999999999997</v>
      </c>
      <c r="Y52" s="7">
        <v>-2.1760000000000002</v>
      </c>
      <c r="Z52" s="7">
        <v>-15.308</v>
      </c>
    </row>
    <row r="53" spans="2:26" x14ac:dyDescent="0.25">
      <c r="B53" t="s">
        <v>180</v>
      </c>
      <c r="L53" s="7">
        <v>11.17</v>
      </c>
      <c r="P53" s="7">
        <v>-2.65</v>
      </c>
      <c r="W53" s="7">
        <v>18.3</v>
      </c>
      <c r="X53" s="7">
        <v>-19.100000000000001</v>
      </c>
      <c r="Y53" s="7">
        <v>-90.25</v>
      </c>
      <c r="Z53" s="7">
        <v>-2.65</v>
      </c>
    </row>
    <row r="54" spans="2:26" x14ac:dyDescent="0.25">
      <c r="B54" t="s">
        <v>181</v>
      </c>
      <c r="L54" s="7">
        <v>28.739000000000001</v>
      </c>
      <c r="P54" s="7">
        <v>0</v>
      </c>
      <c r="W54" s="7">
        <v>0</v>
      </c>
      <c r="X54" s="7">
        <v>-3.7389999999999999</v>
      </c>
      <c r="Y54" s="7">
        <v>28.739000000000001</v>
      </c>
      <c r="Z54" s="7">
        <v>0</v>
      </c>
    </row>
    <row r="55" spans="2:26" x14ac:dyDescent="0.25">
      <c r="B55" t="s">
        <v>182</v>
      </c>
      <c r="L55" s="7">
        <v>38.701999999999998</v>
      </c>
      <c r="P55" s="7">
        <v>3.8660000000000001</v>
      </c>
      <c r="W55" s="7">
        <v>-10.349</v>
      </c>
      <c r="X55" s="7">
        <v>41.189</v>
      </c>
      <c r="Y55" s="7">
        <v>45.499000000000002</v>
      </c>
      <c r="Z55" s="7">
        <v>30.937999999999999</v>
      </c>
    </row>
    <row r="56" spans="2:26" x14ac:dyDescent="0.25">
      <c r="B56" t="s">
        <v>183</v>
      </c>
      <c r="L56" s="7">
        <v>5.1989999999999998</v>
      </c>
      <c r="P56" s="7">
        <v>9.7439999999999998</v>
      </c>
      <c r="W56" s="7">
        <v>-0.41</v>
      </c>
      <c r="X56" s="7">
        <v>2.5630000000000002</v>
      </c>
      <c r="Y56" s="7">
        <v>-11.214</v>
      </c>
      <c r="Z56" s="7">
        <v>-1.54</v>
      </c>
    </row>
    <row r="57" spans="2:26" x14ac:dyDescent="0.25">
      <c r="B57" t="s">
        <v>184</v>
      </c>
      <c r="L57" s="7">
        <v>-2.7890000000000001</v>
      </c>
      <c r="P57" s="7">
        <v>-0.32100000000000001</v>
      </c>
      <c r="W57" s="7">
        <v>-2.9409999999999998</v>
      </c>
      <c r="X57" s="7">
        <v>3.83</v>
      </c>
      <c r="Y57" s="7">
        <v>-4.12</v>
      </c>
      <c r="Z57" s="7">
        <v>-8.3439999999999994</v>
      </c>
    </row>
    <row r="58" spans="2:26" x14ac:dyDescent="0.25">
      <c r="B58" t="s">
        <v>185</v>
      </c>
      <c r="L58" s="7">
        <v>-8.8059999999999992</v>
      </c>
      <c r="P58" s="7">
        <v>9.31</v>
      </c>
      <c r="W58" s="7">
        <v>-5.0490000000000004</v>
      </c>
      <c r="X58" s="7">
        <v>-10.657</v>
      </c>
      <c r="Y58" s="7">
        <v>-14.956</v>
      </c>
      <c r="Z58" s="7">
        <v>-16.579000000000001</v>
      </c>
    </row>
    <row r="59" spans="2:26" x14ac:dyDescent="0.25">
      <c r="B59" t="s">
        <v>186</v>
      </c>
      <c r="L59" s="7">
        <v>-7.2619999999999996</v>
      </c>
      <c r="P59" s="7">
        <v>-11.420999999999999</v>
      </c>
      <c r="W59" s="7">
        <v>2.952</v>
      </c>
      <c r="X59" s="7">
        <v>2.92</v>
      </c>
      <c r="Y59" s="7">
        <v>-7.2050000000000001</v>
      </c>
      <c r="Z59" s="7">
        <v>-11.019</v>
      </c>
    </row>
    <row r="60" spans="2:26" x14ac:dyDescent="0.25">
      <c r="B60" t="s">
        <v>187</v>
      </c>
      <c r="L60" s="7">
        <v>-38.344000000000001</v>
      </c>
      <c r="P60" s="7">
        <v>-39.485999999999997</v>
      </c>
      <c r="W60" s="7">
        <v>28.632000000000001</v>
      </c>
      <c r="X60" s="7">
        <v>-10.260999999999999</v>
      </c>
      <c r="Y60" s="7">
        <v>-21.039000000000001</v>
      </c>
      <c r="Z60" s="7">
        <v>-36.244</v>
      </c>
    </row>
    <row r="61" spans="2:26" x14ac:dyDescent="0.25">
      <c r="B61" t="s">
        <v>188</v>
      </c>
      <c r="L61" s="7">
        <f>SUM(L46:L60)</f>
        <v>141.00800000000001</v>
      </c>
      <c r="P61" s="7">
        <f>SUM(P46:P60)</f>
        <v>86.291000000000025</v>
      </c>
      <c r="W61" s="7">
        <f>SUM(W46:W60)</f>
        <v>471.21300000000002</v>
      </c>
      <c r="X61" s="7">
        <f>SUM(X46:X60)</f>
        <v>363.60700000000003</v>
      </c>
      <c r="Y61" s="7">
        <f>SUM(Y46:Y60)</f>
        <v>286.41900000000004</v>
      </c>
      <c r="Z61" s="7">
        <f>SUM(Z46:Z60)</f>
        <v>216.91599999999997</v>
      </c>
    </row>
    <row r="63" spans="2:26" x14ac:dyDescent="0.25">
      <c r="B63" t="s">
        <v>236</v>
      </c>
      <c r="L63" s="7">
        <v>-104.90900000000001</v>
      </c>
      <c r="P63" s="7">
        <v>-42.006999999999998</v>
      </c>
      <c r="W63" s="7">
        <v>-148.22300000000001</v>
      </c>
      <c r="X63" s="7">
        <v>-219.02099999999999</v>
      </c>
      <c r="Y63" s="7">
        <v>-223.10300000000001</v>
      </c>
      <c r="Z63" s="7">
        <v>-114.77500000000001</v>
      </c>
    </row>
    <row r="64" spans="2:26" x14ac:dyDescent="0.25">
      <c r="B64" t="s">
        <v>189</v>
      </c>
      <c r="L64" s="7">
        <v>2.3410000000000002</v>
      </c>
      <c r="P64" s="7">
        <v>6.1420000000000003</v>
      </c>
      <c r="W64" s="7">
        <v>19.690999999999999</v>
      </c>
      <c r="X64" s="7">
        <v>7.7629999999999999</v>
      </c>
      <c r="Y64" s="7">
        <v>15.372999999999999</v>
      </c>
      <c r="Z64" s="7">
        <v>34.47</v>
      </c>
    </row>
    <row r="65" spans="2:26" x14ac:dyDescent="0.25">
      <c r="B65" t="s">
        <v>237</v>
      </c>
      <c r="L65" s="7">
        <v>-5.2359999999999998</v>
      </c>
      <c r="P65" s="7">
        <v>0</v>
      </c>
      <c r="W65" s="7">
        <v>-182.352</v>
      </c>
      <c r="X65" s="7">
        <v>-96.537000000000006</v>
      </c>
      <c r="Y65" s="7">
        <v>-29.236000000000001</v>
      </c>
      <c r="Z65" s="7">
        <v>-22</v>
      </c>
    </row>
    <row r="66" spans="2:26" x14ac:dyDescent="0.25">
      <c r="B66" t="s">
        <v>190</v>
      </c>
      <c r="L66" s="7">
        <v>28.504000000000001</v>
      </c>
      <c r="P66" s="7">
        <v>5.2359999999999998</v>
      </c>
      <c r="W66" s="7">
        <v>64.328999999999994</v>
      </c>
      <c r="X66" s="7">
        <v>198.12</v>
      </c>
      <c r="Y66" s="7">
        <v>66.584000000000003</v>
      </c>
      <c r="Z66" s="7">
        <v>29.236000000000001</v>
      </c>
    </row>
    <row r="67" spans="2:26" x14ac:dyDescent="0.25">
      <c r="B67" t="s">
        <v>191</v>
      </c>
      <c r="L67" s="7">
        <v>-7.7789999999999999</v>
      </c>
      <c r="P67" s="7">
        <v>-6.2679999999999998</v>
      </c>
      <c r="W67" s="7">
        <v>-17.282</v>
      </c>
      <c r="X67" s="7">
        <v>-12.977</v>
      </c>
      <c r="Y67" s="7">
        <v>-16.896999999999998</v>
      </c>
      <c r="Z67" s="7">
        <v>-13.391</v>
      </c>
    </row>
    <row r="68" spans="2:26" x14ac:dyDescent="0.25">
      <c r="B68" t="s">
        <v>192</v>
      </c>
      <c r="L68" s="7">
        <f>SUM(L63:L67)</f>
        <v>-87.079000000000008</v>
      </c>
      <c r="P68" s="7">
        <f>SUM(P63:P67)</f>
        <v>-36.896999999999991</v>
      </c>
      <c r="W68" s="7">
        <f>SUM(W63:W67)</f>
        <v>-263.83699999999999</v>
      </c>
      <c r="X68" s="7">
        <v>-21.709</v>
      </c>
      <c r="Y68" s="7">
        <f>SUM(Y63:Y67)</f>
        <v>-187.279</v>
      </c>
      <c r="Z68" s="7">
        <f>SUM(Z63:Z67)</f>
        <v>-86.460000000000008</v>
      </c>
    </row>
    <row r="70" spans="2:26" x14ac:dyDescent="0.25">
      <c r="B70" t="s">
        <v>193</v>
      </c>
      <c r="L70" s="7">
        <v>0</v>
      </c>
      <c r="P70" s="7">
        <v>25</v>
      </c>
      <c r="W70" s="7">
        <v>58</v>
      </c>
      <c r="X70" s="7">
        <v>0</v>
      </c>
      <c r="Y70" s="7">
        <v>0</v>
      </c>
      <c r="Z70" s="7">
        <v>25</v>
      </c>
    </row>
    <row r="71" spans="2:26" x14ac:dyDescent="0.25">
      <c r="B71" t="s">
        <v>194</v>
      </c>
      <c r="L71" s="7">
        <v>-35.704999999999998</v>
      </c>
      <c r="P71" s="7">
        <v>-35.526000000000003</v>
      </c>
      <c r="W71" s="7">
        <v>-115.54</v>
      </c>
      <c r="X71" s="7">
        <v>-69.180000000000007</v>
      </c>
      <c r="Y71" s="7">
        <v>-120.518</v>
      </c>
      <c r="Z71" s="7">
        <v>-108.133</v>
      </c>
    </row>
    <row r="72" spans="2:26" x14ac:dyDescent="0.25">
      <c r="B72" t="s">
        <v>195</v>
      </c>
      <c r="L72" s="7">
        <v>-4.1459999999999999</v>
      </c>
      <c r="P72" s="7">
        <v>-2.0209999999999999</v>
      </c>
      <c r="W72" s="7">
        <v>8.3559999999999999</v>
      </c>
      <c r="X72" s="7">
        <v>-14.101000000000001</v>
      </c>
      <c r="Y72" s="7">
        <v>-3.504</v>
      </c>
      <c r="Z72" s="7">
        <v>-5.0679999999999996</v>
      </c>
    </row>
    <row r="73" spans="2:26" x14ac:dyDescent="0.25">
      <c r="B73" t="s">
        <v>196</v>
      </c>
      <c r="L73" s="7">
        <v>0</v>
      </c>
      <c r="P73" s="7">
        <v>-1.9E-2</v>
      </c>
      <c r="W73" s="7">
        <v>-0.95199999999999996</v>
      </c>
      <c r="X73" s="7">
        <v>5.5E-2</v>
      </c>
      <c r="Y73" s="7">
        <v>-6.2E-2</v>
      </c>
      <c r="Z73" s="7">
        <v>-0.85899999999999999</v>
      </c>
    </row>
    <row r="74" spans="2:26" x14ac:dyDescent="0.25">
      <c r="B74" t="s">
        <v>197</v>
      </c>
      <c r="L74" s="7">
        <v>-5.6470000000000002</v>
      </c>
      <c r="P74" s="7">
        <v>-5.5430000000000001</v>
      </c>
      <c r="W74" s="7">
        <v>-10.83</v>
      </c>
      <c r="X74" s="7">
        <v>-11.542</v>
      </c>
      <c r="Y74" s="7">
        <v>-11.295</v>
      </c>
      <c r="Z74" s="7">
        <v>-10.97</v>
      </c>
    </row>
    <row r="75" spans="2:26" x14ac:dyDescent="0.25">
      <c r="B75" t="s">
        <v>198</v>
      </c>
      <c r="L75" s="7">
        <v>-31.626999999999999</v>
      </c>
      <c r="P75" s="7">
        <v>-41.737000000000002</v>
      </c>
      <c r="W75" s="7">
        <v>-65.001999999999995</v>
      </c>
      <c r="X75" s="7">
        <v>-91.531000000000006</v>
      </c>
      <c r="Y75" s="7">
        <v>-75.233000000000004</v>
      </c>
      <c r="Z75" s="7">
        <v>-75.566999999999993</v>
      </c>
    </row>
    <row r="76" spans="2:26" x14ac:dyDescent="0.25">
      <c r="B76" t="s">
        <v>199</v>
      </c>
      <c r="L76" s="7">
        <v>-22.634</v>
      </c>
      <c r="P76" s="7">
        <v>-1.9379999999999999</v>
      </c>
      <c r="W76" s="7">
        <v>-16.222000000000001</v>
      </c>
      <c r="X76" s="7">
        <v>-10.311</v>
      </c>
      <c r="Y76" s="7">
        <v>-22.73</v>
      </c>
      <c r="Z76" s="7">
        <v>-2.0659999999999998</v>
      </c>
    </row>
    <row r="77" spans="2:26" x14ac:dyDescent="0.25">
      <c r="B77" t="s">
        <v>200</v>
      </c>
      <c r="L77" s="7">
        <f>SUM(L70:L76)</f>
        <v>-99.759</v>
      </c>
      <c r="P77" s="7">
        <f>SUM(P70:P76)</f>
        <v>-61.784000000000006</v>
      </c>
      <c r="W77" s="7">
        <f>SUM(W70:W76)+14.206</f>
        <v>-127.98399999999999</v>
      </c>
      <c r="X77" s="7">
        <f>SUM(X70:X76)+14.206</f>
        <v>-182.40400000000002</v>
      </c>
      <c r="Y77" s="7">
        <f>SUM(Y70:Y76)</f>
        <v>-233.34199999999998</v>
      </c>
      <c r="Z77" s="7">
        <f>SUM(Z70:Z76)</f>
        <v>-177.66299999999998</v>
      </c>
    </row>
    <row r="79" spans="2:26" x14ac:dyDescent="0.25"/>
  </sheetData>
  <pageMargins left="0.7" right="0.7" top="0.75" bottom="0.75" header="0.3" footer="0.3"/>
  <ignoredErrors>
    <ignoredError sqref="AA11:AJ11" formula="1"/>
  </ignoredError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Flynn</dc:creator>
  <cp:lastModifiedBy>Ethan Flynn</cp:lastModifiedBy>
  <dcterms:created xsi:type="dcterms:W3CDTF">2025-09-16T00:36:12Z</dcterms:created>
  <dcterms:modified xsi:type="dcterms:W3CDTF">2026-03-09T02:27:26Z</dcterms:modified>
</cp:coreProperties>
</file>